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ndimz\Downloads\"/>
    </mc:Choice>
  </mc:AlternateContent>
  <xr:revisionPtr revIDLastSave="0" documentId="13_ncr:1_{7552F7EB-C138-4ADB-B3B9-E85ED9B9DCF6}" xr6:coauthVersionLast="47" xr6:coauthVersionMax="47" xr10:uidLastSave="{00000000-0000-0000-0000-000000000000}"/>
  <bookViews>
    <workbookView xWindow="22932" yWindow="-108" windowWidth="23256" windowHeight="12456" tabRatio="638" firstSheet="9" activeTab="13" xr2:uid="{00000000-000D-0000-FFFF-FFFF00000000}"/>
  </bookViews>
  <sheets>
    <sheet name="Booking_Preview" sheetId="1" r:id="rId1"/>
    <sheet name="Booking_LineItems" sheetId="2" r:id="rId2"/>
    <sheet name="BaseRates_Passenger" sheetId="3" r:id="rId3"/>
    <sheet name="PassengerFareRules" sheetId="4" r:id="rId4"/>
    <sheet name="BaseRates_Cargo" sheetId="5" r:id="rId5"/>
    <sheet name="OverrideRates_PromoPassenger" sheetId="6" r:id="rId6"/>
    <sheet name="OverrideRates_PromoCargo" sheetId="7" r:id="rId7"/>
    <sheet name="ChargeCatalog" sheetId="8" r:id="rId8"/>
    <sheet name="ChargeRules" sheetId="9" r:id="rId9"/>
    <sheet name="Rate Snapshot" sheetId="10" r:id="rId10"/>
    <sheet name="RateSnapshotPassenger" sheetId="13" r:id="rId11"/>
    <sheet name="RateSnapshotCargo" sheetId="14" r:id="rId12"/>
    <sheet name="Charge Snapshot" sheetId="11" r:id="rId13"/>
    <sheet name="ChargeSnapshotLines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F27" i="1"/>
  <c r="I27" i="1" s="1"/>
  <c r="H26" i="1"/>
  <c r="F26" i="1"/>
  <c r="I26" i="1" s="1"/>
  <c r="B32" i="1" s="1"/>
  <c r="I21" i="1"/>
  <c r="I20" i="1"/>
  <c r="I19" i="1"/>
  <c r="I18" i="1"/>
  <c r="B31" i="1" s="1"/>
  <c r="B34" i="1" s="1"/>
  <c r="B35" i="1" l="1"/>
  <c r="B36" i="1" s="1"/>
</calcChain>
</file>

<file path=xl/sharedStrings.xml><?xml version="1.0" encoding="utf-8"?>
<sst xmlns="http://schemas.openxmlformats.org/spreadsheetml/2006/main" count="676" uniqueCount="215">
  <si>
    <t>Booking Preview (Quote/Booking Time)</t>
  </si>
  <si>
    <t>This sheet shows how rates + promo (Option A) + charge snapshot appear during booking.</t>
  </si>
  <si>
    <t>Booking Context</t>
  </si>
  <si>
    <t>Booking ID</t>
  </si>
  <si>
    <t>BK-0001</t>
  </si>
  <si>
    <t>Rate Snapshot ID</t>
  </si>
  <si>
    <t>RS_ELN_CRN_20260101</t>
  </si>
  <si>
    <t>Charge Snapshot ID</t>
  </si>
  <si>
    <t>CS_ELN_CRN_2026-01-01</t>
  </si>
  <si>
    <t>Route Code</t>
  </si>
  <si>
    <t>ELN-CRN</t>
  </si>
  <si>
    <t>Accommodation</t>
  </si>
  <si>
    <t>AIRCON</t>
  </si>
  <si>
    <t>Currency</t>
  </si>
  <si>
    <t>PHP</t>
  </si>
  <si>
    <t>Travel Date</t>
  </si>
  <si>
    <t>Promo Code (optional)</t>
  </si>
  <si>
    <t>NEWYEAR2026</t>
  </si>
  <si>
    <t>Sales Channel</t>
  </si>
  <si>
    <t>ALL</t>
  </si>
  <si>
    <t>Payment Method</t>
  </si>
  <si>
    <t>Passenger Pricing (per Passenger Type Code)</t>
  </si>
  <si>
    <t>PASSENGER_TYPE_CODE</t>
  </si>
  <si>
    <t>QTY</t>
  </si>
  <si>
    <t>Base Fare (Rate Snapshot)</t>
  </si>
  <si>
    <t>Promo Override Fare</t>
  </si>
  <si>
    <t>Fare Used</t>
  </si>
  <si>
    <t>Port Charge (per pax)</t>
  </si>
  <si>
    <t>Doc Stamp (per booking)</t>
  </si>
  <si>
    <t>VAT (12%)</t>
  </si>
  <si>
    <t>Line Total</t>
  </si>
  <si>
    <t>Notes</t>
  </si>
  <si>
    <t>ADULT</t>
  </si>
  <si>
    <t>Promo applies in Jan 2026</t>
  </si>
  <si>
    <t>CHILD</t>
  </si>
  <si>
    <t>SENIOR</t>
  </si>
  <si>
    <t>INFANT</t>
  </si>
  <si>
    <t>No fare</t>
  </si>
  <si>
    <t>Cargo Pricing (by Cargo Classification)</t>
  </si>
  <si>
    <t>CARGO_TYPE_CODE</t>
  </si>
  <si>
    <t>CARGO_CLASS_CODE</t>
  </si>
  <si>
    <t>QTY / MEASURE</t>
  </si>
  <si>
    <t>RATE_UNIT</t>
  </si>
  <si>
    <t>Base Rate (Rate Snapshot)</t>
  </si>
  <si>
    <t>Base Amount</t>
  </si>
  <si>
    <t>Handling Charge Rate</t>
  </si>
  <si>
    <t>Handling Amount</t>
  </si>
  <si>
    <t>Cargo Line Total</t>
  </si>
  <si>
    <t>LOOSE_CBM</t>
  </si>
  <si>
    <t>CBM_REG</t>
  </si>
  <si>
    <t>PER_CBM</t>
  </si>
  <si>
    <t>Handling per CBM</t>
  </si>
  <si>
    <t>ROLLING</t>
  </si>
  <si>
    <t>SEDAN</t>
  </si>
  <si>
    <t>PER_VEHICLE</t>
  </si>
  <si>
    <t>Handling per cargo item</t>
  </si>
  <si>
    <t>Totals Summary</t>
  </si>
  <si>
    <t>Passenger Subtotal (Fare + per-pax charges)</t>
  </si>
  <si>
    <t>Cargo Subtotal (Base + cargo charges)</t>
  </si>
  <si>
    <t>Subtotal before VAT</t>
  </si>
  <si>
    <t>Grand Total (Amount Payable)</t>
  </si>
  <si>
    <t>Booking Line Items (Receipt-style Preview)</t>
  </si>
  <si>
    <t>All amounts in PHP (no currency symbols). Inclusive/Exclusive indicates whether the charge is included or added.</t>
  </si>
  <si>
    <t>LINE_TYPE</t>
  </si>
  <si>
    <t>CODE</t>
  </si>
  <si>
    <t>DESCRIPTION</t>
  </si>
  <si>
    <t>UNIT_PRICE</t>
  </si>
  <si>
    <t>AMOUNT</t>
  </si>
  <si>
    <t>INCLUSION_MODE</t>
  </si>
  <si>
    <t>SOURCE</t>
  </si>
  <si>
    <t>PASSENGER_FARE</t>
  </si>
  <si>
    <t>Adult fare (AIRCON)</t>
  </si>
  <si>
    <t>BASE</t>
  </si>
  <si>
    <t>RateSnapshotPassenger + Promo</t>
  </si>
  <si>
    <t>Child fare (AIRCON)</t>
  </si>
  <si>
    <t>Senior fare (AIRCON)</t>
  </si>
  <si>
    <t>Infant fare (AIRCON)</t>
  </si>
  <si>
    <t>RateSnapshotPassenger</t>
  </si>
  <si>
    <t>CHARGE</t>
  </si>
  <si>
    <t>PORT_CHARGE</t>
  </si>
  <si>
    <t>Port / Terminal Charge</t>
  </si>
  <si>
    <t>INCLUSIVE</t>
  </si>
  <si>
    <t>ChargeSnapshotLines (PER_PAX)</t>
  </si>
  <si>
    <t>DOC_STAMP</t>
  </si>
  <si>
    <t>Documentary Stamp Tax</t>
  </si>
  <si>
    <t>ChargeSnapshotLines (PER_BOOKING)</t>
  </si>
  <si>
    <t>CARGO_RATE</t>
  </si>
  <si>
    <t>LOOSE_CBM / CBM_REG</t>
  </si>
  <si>
    <t>Loose cargo</t>
  </si>
  <si>
    <t>RateSnapshotCargo</t>
  </si>
  <si>
    <t>CARGO_HANDLING</t>
  </si>
  <si>
    <t>Cargo handling (PER_CBM)</t>
  </si>
  <si>
    <t>EXCLUSIVE</t>
  </si>
  <si>
    <t>ChargeSnapshotLines (PER_CBM)</t>
  </si>
  <si>
    <t>ROLLING / SEDAN</t>
  </si>
  <si>
    <t>Rolling cargo (sedan)</t>
  </si>
  <si>
    <t>Cargo handling (PER_CARGO)</t>
  </si>
  <si>
    <t>ChargeSnapshotLines (PER_CARGO)</t>
  </si>
  <si>
    <t>TAX</t>
  </si>
  <si>
    <t>VAT</t>
  </si>
  <si>
    <t>Value Added Tax (12%)</t>
  </si>
  <si>
    <t>ChargeSnapshotLines (TAXABLE_SUBTOTAL)</t>
  </si>
  <si>
    <t>TOTAL</t>
  </si>
  <si>
    <t>Computed</t>
  </si>
  <si>
    <t>ROUTE_CODE</t>
  </si>
  <si>
    <t>ACCOM_CODE</t>
  </si>
  <si>
    <t>CURRENCY</t>
  </si>
  <si>
    <t>IS_ACTIVE</t>
  </si>
  <si>
    <t>Y</t>
  </si>
  <si>
    <t>NON_AIRCON</t>
  </si>
  <si>
    <t>Notes:
- BaseRates_Passenger is the editable current config (no effective dates).
- History is represented by Rate Snapshot builds (immutable).
- Uniqueness key (recommended): ROUTE_CODE + PASSENGER_TYPE_CODE + ACCOM_CODE + CURRENCY
- Use IS_ACTIVE = 'Y' to include row in the next build.</t>
  </si>
  <si>
    <t>RULE_CODE</t>
  </si>
  <si>
    <t>TARGET_PASSENGER_TYPE_CODE</t>
  </si>
  <si>
    <t>BASE_PASSENGER_TYPE_CODE</t>
  </si>
  <si>
    <t>CALC_TYPE</t>
  </si>
  <si>
    <t>VALUE</t>
  </si>
  <si>
    <t>ROUNDING_MODE</t>
  </si>
  <si>
    <t>MIN_AMOUNT</t>
  </si>
  <si>
    <t>MAX_AMOUNT</t>
  </si>
  <si>
    <t>EFFECTIVE_FROM</t>
  </si>
  <si>
    <t>EFFECTIVE_TO</t>
  </si>
  <si>
    <t>PRIORITY</t>
  </si>
  <si>
    <t>PR_INFANT_FREE</t>
  </si>
  <si>
    <t>FIXED</t>
  </si>
  <si>
    <t>NONE</t>
  </si>
  <si>
    <t>PR_CHILD_HALF</t>
  </si>
  <si>
    <t>MULTIPLIER</t>
  </si>
  <si>
    <t>ROUND_TO_1</t>
  </si>
  <si>
    <t>PR_SENIOR_20OFF</t>
  </si>
  <si>
    <t>PERCENT_OFF</t>
  </si>
  <si>
    <t>MC</t>
  </si>
  <si>
    <t>SUV</t>
  </si>
  <si>
    <t>LOOSE_FIXED</t>
  </si>
  <si>
    <t>BOX_S</t>
  </si>
  <si>
    <t>BOX_L</t>
  </si>
  <si>
    <t>CBM_FRAG</t>
  </si>
  <si>
    <t>CRN-ELN</t>
  </si>
  <si>
    <t>Notes:
- BaseRates_Cargo is the editable current config (no effective dates).
- History is represented by Rate Snapshot builds (immutable).
- Uniqueness key (recommended): ROUTE_CODE + CARGO_TYPE_CODE + CARGO_CLASS_CODE + CURRENCY
- Use IS_ACTIVE = 'Y' to include row in the next build.</t>
  </si>
  <si>
    <t>PROMO_CODE</t>
  </si>
  <si>
    <t>PROMO_NAME</t>
  </si>
  <si>
    <t>SUMMER2026</t>
  </si>
  <si>
    <t>Summer Promo 2026</t>
  </si>
  <si>
    <t>CARGOOFFPEAK</t>
  </si>
  <si>
    <t>Cargo Off-Peak Promo</t>
  </si>
  <si>
    <t>Promo Policy (Option A):
- Promo overrides are applied at QUOTE/BOOKING time (not baked into Rate Snapshot).
- If multiple promos match, PRIORITY resolves conflicts (lower number = higher priority).
- Keep EFFECTIVE_FROM / EFFECTIVE_TO to control promo windows.
Uniqueness key (recommended):
- PROMO_CODE + ROUTE_CODE + (ACCOM_CODE or CARGO keys) + (PASSENGER_TYPE_CODE / CARGO_TYPE_CODE + CARGO_CLASS_CODE) + EFFECTIVE_FROM
Validation:
- Date range must be valid.
- Promo window can overlap other promos, but priority resolves conflicts.</t>
  </si>
  <si>
    <t>CHARGE_CODE</t>
  </si>
  <si>
    <t>CHARGE_NAME</t>
  </si>
  <si>
    <t>CATEGORY</t>
  </si>
  <si>
    <t>DEFAULT_CURRENCY</t>
  </si>
  <si>
    <t>IS_TAXABLE</t>
  </si>
  <si>
    <t>IS_PASS_THROUGH</t>
  </si>
  <si>
    <t>SHOW_ON_RECEIPT</t>
  </si>
  <si>
    <t>DISBURSEMENT</t>
  </si>
  <si>
    <t>N</t>
  </si>
  <si>
    <t>Value Added Tax</t>
  </si>
  <si>
    <t>Cargo Handling Fee</t>
  </si>
  <si>
    <t>FEE</t>
  </si>
  <si>
    <t>CANCEL_FEE</t>
  </si>
  <si>
    <t>Cancellation Fee</t>
  </si>
  <si>
    <t>PENALTY</t>
  </si>
  <si>
    <t>REBOOK_FEE</t>
  </si>
  <si>
    <t>Rebooking Fee</t>
  </si>
  <si>
    <t>REFUND_FEE</t>
  </si>
  <si>
    <t>EVENT_TYPE</t>
  </si>
  <si>
    <t>SERVICE_DOMAIN</t>
  </si>
  <si>
    <t>SALES_CHANNEL</t>
  </si>
  <si>
    <t>PAYMENT_METHOD</t>
  </si>
  <si>
    <t>UNIT</t>
  </si>
  <si>
    <t>BASIS</t>
  </si>
  <si>
    <t>SL_PORT_PAX_INCLUDED</t>
  </si>
  <si>
    <t>QUOTE</t>
  </si>
  <si>
    <t>PASSENGER</t>
  </si>
  <si>
    <t>FLAT</t>
  </si>
  <si>
    <t>PER_PAX</t>
  </si>
  <si>
    <t>SL_DOCSTAMP_INCLUDED</t>
  </si>
  <si>
    <t>PER_BOOKING</t>
  </si>
  <si>
    <t>SL_VAT12_INCLUDED</t>
  </si>
  <si>
    <t>PERCENT</t>
  </si>
  <si>
    <t>TAXABLE_SUBTOTAL</t>
  </si>
  <si>
    <t>SL_CARGO_ITEM_EXCL</t>
  </si>
  <si>
    <t>CARGO</t>
  </si>
  <si>
    <t>PER_CARGO</t>
  </si>
  <si>
    <t>SL_CARGO_CBM_EXCL</t>
  </si>
  <si>
    <t>SL_CANCEL_10_EXCL</t>
  </si>
  <si>
    <t>CANCEL</t>
  </si>
  <si>
    <t>FARE_SUBTOTAL</t>
  </si>
  <si>
    <t>SL_REBOOK_PAX_EXCL</t>
  </si>
  <si>
    <t>REBOOK</t>
  </si>
  <si>
    <t>E-PAY</t>
  </si>
  <si>
    <t>RATE_SNAPSHOT_ID</t>
  </si>
  <si>
    <t>RATE_SNAPSHOT_NAME</t>
  </si>
  <si>
    <t>RATE_SNAPSHOT_NOTES</t>
  </si>
  <si>
    <t>CREATED_AT</t>
  </si>
  <si>
    <t>CREATED_BY</t>
  </si>
  <si>
    <t>CHARGE_RULES_REV</t>
  </si>
  <si>
    <t>ELN - CRN - 2026-01-01</t>
  </si>
  <si>
    <t>NOTES SAMPLE</t>
  </si>
  <si>
    <t>admin</t>
  </si>
  <si>
    <t>COMPILED_FROM_BASE_RATES</t>
  </si>
  <si>
    <t>Notes:
- Rate Snapshot is immutable output of the build.
- Base rates have no effective dates; the snapshot header stores EFFECTIVE_FROM / EFFECTIVE_TO.
- Promo overrides are applied at quote/booking time (Option A).</t>
  </si>
  <si>
    <t>CHARGE_SNAPSHOT_ID</t>
  </si>
  <si>
    <t>CHARGE_SNAPSHOT_NAME</t>
  </si>
  <si>
    <t>CHARGE_SNAPSHOT_NOTES</t>
  </si>
  <si>
    <t>Charges ELN-CRN 2026-01-01</t>
  </si>
  <si>
    <t>Compiled from ChargeRules for Rate Snapshot</t>
  </si>
  <si>
    <t>1/1/26 0:00</t>
  </si>
  <si>
    <t>1/31/26</t>
  </si>
  <si>
    <t>1/1/26 10:00</t>
  </si>
  <si>
    <t>COMPILED_FROM_CHARGE_RULES</t>
  </si>
  <si>
    <t>v1</t>
  </si>
  <si>
    <t>Notes:
- Charge Snapshot is the immutable compiled set of charge rules used for pricing within the snapshot window.
- It should be linked to a RATE_SNAPSHOT_ID to ensure totals remain reproducible for historical bookings.</t>
  </si>
  <si>
    <t>RULE_CODE_USED</t>
  </si>
  <si>
    <t>Notes:
- This is the compiled list of charge rules for a given Charge Snapshot.
- EFFECTIVE_FROM/TO are stored in the Charge Snapshot header (same window as the linked Rate Snapshot).
- RULE_CODE_USED points back to the ChargeRules row that produced this snapshot line.</t>
  </si>
  <si>
    <t>PRICING_MODE</t>
  </si>
  <si>
    <t>DERIVED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</si>
</sst>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b/>
      <sz val="16"/>
      <name val="Calibri"/>
    </font>
    <font>
      <b/>
      <sz val="12"/>
      <name val="Calibri"/>
    </font>
    <font>
      <b/>
      <sz val="11"/>
      <name val="Calibri"/>
    </font>
    <font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E8EEF7"/>
      </patternFill>
    </fill>
    <fill>
      <patternFill patternType="solid">
        <fgColor rgb="FFFFF8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22" fontId="0" fillId="0" borderId="0" xfId="0" applyNumberFormat="1" applyAlignment="1">
      <alignment horizontal="left" vertical="top" wrapText="1"/>
    </xf>
    <xf numFmtId="0" fontId="0" fillId="2" borderId="0" xfId="0" applyFill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5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164" fontId="0" fillId="0" borderId="0" xfId="0" applyNumberFormat="1"/>
    <xf numFmtId="0" fontId="3" fillId="0" borderId="0" xfId="0" applyFont="1"/>
    <xf numFmtId="0" fontId="0" fillId="0" borderId="0" xfId="0"/>
    <xf numFmtId="0" fontId="0" fillId="0" borderId="0" xfId="0" applyAlignment="1">
      <alignment horizontal="left" vertical="center" wrapText="1"/>
    </xf>
    <xf numFmtId="0" fontId="4" fillId="3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showGridLines="0" workbookViewId="0">
      <pane ySplit="15" topLeftCell="A16" activePane="bottomLeft" state="frozen"/>
      <selection pane="bottomLeft" activeCell="A5" sqref="A5:B14"/>
    </sheetView>
  </sheetViews>
  <sheetFormatPr defaultRowHeight="15" x14ac:dyDescent="0.25"/>
  <cols>
    <col min="1" max="1" width="28" customWidth="1"/>
    <col min="2" max="2" width="19.42578125" customWidth="1"/>
    <col min="3" max="3" width="22" customWidth="1"/>
    <col min="4" max="4" width="18" customWidth="1"/>
    <col min="5" max="5" width="14" customWidth="1"/>
    <col min="6" max="6" width="18" customWidth="1"/>
    <col min="7" max="7" width="20" customWidth="1"/>
    <col min="8" max="8" width="12" customWidth="1"/>
    <col min="9" max="9" width="18" customWidth="1"/>
    <col min="10" max="10" width="28" customWidth="1"/>
  </cols>
  <sheetData>
    <row r="1" spans="1:10" ht="21" x14ac:dyDescent="0.3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25">
      <c r="A2" s="27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ht="15.75" x14ac:dyDescent="0.25">
      <c r="A4" s="28" t="s">
        <v>2</v>
      </c>
      <c r="B4" s="26"/>
      <c r="C4" s="26"/>
      <c r="D4" s="26"/>
      <c r="E4" s="26"/>
      <c r="F4" s="26"/>
      <c r="G4" s="26"/>
      <c r="H4" s="26"/>
      <c r="I4" s="26"/>
      <c r="J4" s="26"/>
    </row>
    <row r="5" spans="1:10" x14ac:dyDescent="0.25">
      <c r="A5" s="16" t="s">
        <v>3</v>
      </c>
      <c r="B5" s="17" t="s">
        <v>4</v>
      </c>
    </row>
    <row r="6" spans="1:10" ht="30" x14ac:dyDescent="0.25">
      <c r="A6" s="16" t="s">
        <v>5</v>
      </c>
      <c r="B6" s="17" t="s">
        <v>6</v>
      </c>
    </row>
    <row r="7" spans="1:10" ht="30" x14ac:dyDescent="0.25">
      <c r="A7" s="16" t="s">
        <v>7</v>
      </c>
      <c r="B7" s="17" t="s">
        <v>8</v>
      </c>
    </row>
    <row r="8" spans="1:10" x14ac:dyDescent="0.25">
      <c r="A8" s="16" t="s">
        <v>9</v>
      </c>
      <c r="B8" s="17" t="s">
        <v>10</v>
      </c>
    </row>
    <row r="9" spans="1:10" x14ac:dyDescent="0.25">
      <c r="A9" s="16" t="s">
        <v>11</v>
      </c>
      <c r="B9" s="17" t="s">
        <v>12</v>
      </c>
    </row>
    <row r="10" spans="1:10" x14ac:dyDescent="0.25">
      <c r="A10" s="16" t="s">
        <v>13</v>
      </c>
      <c r="B10" s="17" t="s">
        <v>14</v>
      </c>
    </row>
    <row r="11" spans="1:10" x14ac:dyDescent="0.25">
      <c r="A11" s="16" t="s">
        <v>15</v>
      </c>
      <c r="B11" s="18">
        <v>46037</v>
      </c>
    </row>
    <row r="12" spans="1:10" x14ac:dyDescent="0.25">
      <c r="A12" s="16" t="s">
        <v>16</v>
      </c>
      <c r="B12" s="17" t="s">
        <v>17</v>
      </c>
    </row>
    <row r="13" spans="1:10" x14ac:dyDescent="0.25">
      <c r="A13" s="16" t="s">
        <v>18</v>
      </c>
      <c r="B13" s="17" t="s">
        <v>19</v>
      </c>
    </row>
    <row r="14" spans="1:10" x14ac:dyDescent="0.25">
      <c r="A14" s="16" t="s">
        <v>20</v>
      </c>
      <c r="B14" s="17" t="s">
        <v>19</v>
      </c>
    </row>
    <row r="16" spans="1:10" ht="15.75" x14ac:dyDescent="0.25">
      <c r="A16" s="28" t="s">
        <v>21</v>
      </c>
      <c r="B16" s="26"/>
      <c r="C16" s="26"/>
      <c r="D16" s="26"/>
      <c r="E16" s="26"/>
      <c r="F16" s="26"/>
      <c r="G16" s="26"/>
      <c r="H16" s="26"/>
      <c r="I16" s="26"/>
      <c r="J16" s="26"/>
    </row>
    <row r="17" spans="1:10" ht="30" x14ac:dyDescent="0.25">
      <c r="A17" s="19" t="s">
        <v>22</v>
      </c>
      <c r="B17" s="19" t="s">
        <v>23</v>
      </c>
      <c r="C17" s="19" t="s">
        <v>24</v>
      </c>
      <c r="D17" s="19" t="s">
        <v>25</v>
      </c>
      <c r="E17" s="19" t="s">
        <v>26</v>
      </c>
      <c r="F17" s="19" t="s">
        <v>27</v>
      </c>
      <c r="G17" s="19" t="s">
        <v>28</v>
      </c>
      <c r="H17" s="19" t="s">
        <v>29</v>
      </c>
      <c r="I17" s="19" t="s">
        <v>30</v>
      </c>
      <c r="J17" s="19" t="s">
        <v>31</v>
      </c>
    </row>
    <row r="18" spans="1:10" x14ac:dyDescent="0.25">
      <c r="A18" s="20" t="s">
        <v>32</v>
      </c>
      <c r="B18" s="21">
        <v>2</v>
      </c>
      <c r="C18" s="22">
        <v>1800</v>
      </c>
      <c r="D18" s="22">
        <v>1700</v>
      </c>
      <c r="E18" s="22">
        <v>1700</v>
      </c>
      <c r="F18" s="22">
        <v>100</v>
      </c>
      <c r="G18" s="22">
        <v>0</v>
      </c>
      <c r="H18" s="22">
        <v>0</v>
      </c>
      <c r="I18" s="22">
        <f>(E18+F18)*B18</f>
        <v>3600</v>
      </c>
      <c r="J18" s="20" t="s">
        <v>33</v>
      </c>
    </row>
    <row r="19" spans="1:10" x14ac:dyDescent="0.25">
      <c r="A19" s="20" t="s">
        <v>34</v>
      </c>
      <c r="B19" s="21">
        <v>1</v>
      </c>
      <c r="C19" s="22">
        <v>900</v>
      </c>
      <c r="D19" s="22">
        <v>850</v>
      </c>
      <c r="E19" s="22">
        <v>850</v>
      </c>
      <c r="F19" s="22">
        <v>100</v>
      </c>
      <c r="G19" s="22">
        <v>0</v>
      </c>
      <c r="H19" s="22">
        <v>0</v>
      </c>
      <c r="I19" s="22">
        <f>(E19+F19)*B19</f>
        <v>950</v>
      </c>
      <c r="J19" s="20" t="s">
        <v>33</v>
      </c>
    </row>
    <row r="20" spans="1:10" x14ac:dyDescent="0.25">
      <c r="A20" s="20" t="s">
        <v>35</v>
      </c>
      <c r="B20" s="21">
        <v>1</v>
      </c>
      <c r="C20" s="22">
        <v>1440</v>
      </c>
      <c r="D20" s="22">
        <v>1360</v>
      </c>
      <c r="E20" s="22">
        <v>1360</v>
      </c>
      <c r="F20" s="22">
        <v>100</v>
      </c>
      <c r="G20" s="22">
        <v>0</v>
      </c>
      <c r="H20" s="22">
        <v>0</v>
      </c>
      <c r="I20" s="22">
        <f>(E20+F20)*B20</f>
        <v>1460</v>
      </c>
      <c r="J20" s="20" t="s">
        <v>33</v>
      </c>
    </row>
    <row r="21" spans="1:10" x14ac:dyDescent="0.25">
      <c r="A21" s="20" t="s">
        <v>36</v>
      </c>
      <c r="B21" s="21">
        <v>1</v>
      </c>
      <c r="C21" s="22">
        <v>0</v>
      </c>
      <c r="D21" s="22">
        <v>0</v>
      </c>
      <c r="E21" s="22">
        <v>0</v>
      </c>
      <c r="F21" s="22">
        <v>100</v>
      </c>
      <c r="G21" s="22">
        <v>0</v>
      </c>
      <c r="H21" s="22">
        <v>0</v>
      </c>
      <c r="I21" s="22">
        <f>(E21+F21)*B21</f>
        <v>100</v>
      </c>
      <c r="J21" s="20" t="s">
        <v>37</v>
      </c>
    </row>
    <row r="24" spans="1:10" ht="15.75" x14ac:dyDescent="0.25">
      <c r="A24" s="28" t="s">
        <v>38</v>
      </c>
      <c r="B24" s="26"/>
      <c r="C24" s="26"/>
      <c r="D24" s="26"/>
      <c r="E24" s="26"/>
      <c r="F24" s="26"/>
      <c r="G24" s="26"/>
      <c r="H24" s="26"/>
      <c r="I24" s="26"/>
      <c r="J24" s="26"/>
    </row>
    <row r="25" spans="1:10" ht="45" x14ac:dyDescent="0.25">
      <c r="A25" s="19" t="s">
        <v>39</v>
      </c>
      <c r="B25" s="19" t="s">
        <v>40</v>
      </c>
      <c r="C25" s="19" t="s">
        <v>41</v>
      </c>
      <c r="D25" s="19" t="s">
        <v>42</v>
      </c>
      <c r="E25" s="19" t="s">
        <v>43</v>
      </c>
      <c r="F25" s="19" t="s">
        <v>44</v>
      </c>
      <c r="G25" s="19" t="s">
        <v>45</v>
      </c>
      <c r="H25" s="19" t="s">
        <v>46</v>
      </c>
      <c r="I25" s="19" t="s">
        <v>47</v>
      </c>
      <c r="J25" s="19" t="s">
        <v>31</v>
      </c>
    </row>
    <row r="26" spans="1:10" x14ac:dyDescent="0.25">
      <c r="A26" s="20" t="s">
        <v>48</v>
      </c>
      <c r="B26" s="20" t="s">
        <v>49</v>
      </c>
      <c r="C26" s="22">
        <v>2.5</v>
      </c>
      <c r="D26" s="20" t="s">
        <v>50</v>
      </c>
      <c r="E26" s="22">
        <v>1200</v>
      </c>
      <c r="F26" s="22">
        <f>C26*E26</f>
        <v>3000</v>
      </c>
      <c r="G26" s="22">
        <v>120</v>
      </c>
      <c r="H26" s="22">
        <f>C26*G26</f>
        <v>300</v>
      </c>
      <c r="I26" s="22">
        <f>F26+H26</f>
        <v>3300</v>
      </c>
      <c r="J26" s="20" t="s">
        <v>51</v>
      </c>
    </row>
    <row r="27" spans="1:10" x14ac:dyDescent="0.25">
      <c r="A27" s="20" t="s">
        <v>52</v>
      </c>
      <c r="B27" s="20" t="s">
        <v>53</v>
      </c>
      <c r="C27" s="22">
        <v>1</v>
      </c>
      <c r="D27" s="20" t="s">
        <v>54</v>
      </c>
      <c r="E27" s="22">
        <v>3500</v>
      </c>
      <c r="F27" s="22">
        <f>C27*E27</f>
        <v>3500</v>
      </c>
      <c r="G27" s="22">
        <v>50</v>
      </c>
      <c r="H27" s="22">
        <f>C27*G27</f>
        <v>50</v>
      </c>
      <c r="I27" s="22">
        <f>F27+H27</f>
        <v>3550</v>
      </c>
      <c r="J27" s="20" t="s">
        <v>55</v>
      </c>
    </row>
    <row r="30" spans="1:10" ht="15.75" x14ac:dyDescent="0.25">
      <c r="A30" s="28" t="s">
        <v>56</v>
      </c>
      <c r="B30" s="26"/>
      <c r="C30" s="26"/>
      <c r="D30" s="26"/>
      <c r="E30" s="26"/>
      <c r="F30" s="26"/>
      <c r="G30" s="26"/>
      <c r="H30" s="26"/>
      <c r="I30" s="26"/>
      <c r="J30" s="26"/>
    </row>
    <row r="31" spans="1:10" ht="30" x14ac:dyDescent="0.25">
      <c r="A31" s="23" t="s">
        <v>57</v>
      </c>
      <c r="B31" s="22">
        <f>SUM(I18:I21)</f>
        <v>6110</v>
      </c>
    </row>
    <row r="32" spans="1:10" ht="30" x14ac:dyDescent="0.25">
      <c r="A32" s="23" t="s">
        <v>58</v>
      </c>
      <c r="B32" s="22">
        <f>SUM(I26:I27)</f>
        <v>6850</v>
      </c>
    </row>
    <row r="33" spans="1:2" x14ac:dyDescent="0.25">
      <c r="A33" s="23" t="s">
        <v>28</v>
      </c>
      <c r="B33" s="22">
        <v>30</v>
      </c>
    </row>
    <row r="34" spans="1:2" x14ac:dyDescent="0.25">
      <c r="A34" s="23" t="s">
        <v>59</v>
      </c>
      <c r="B34" s="22">
        <f>B31+B32+B33</f>
        <v>12990</v>
      </c>
    </row>
    <row r="35" spans="1:2" x14ac:dyDescent="0.25">
      <c r="A35" s="23" t="s">
        <v>29</v>
      </c>
      <c r="B35" s="22">
        <f>B34*0.12</f>
        <v>1558.8</v>
      </c>
    </row>
    <row r="36" spans="1:2" ht="30" x14ac:dyDescent="0.25">
      <c r="A36" s="23" t="s">
        <v>60</v>
      </c>
      <c r="B36" s="22">
        <f>B34+B35</f>
        <v>14548.8</v>
      </c>
    </row>
  </sheetData>
  <mergeCells count="6">
    <mergeCell ref="A1:J1"/>
    <mergeCell ref="A2:J2"/>
    <mergeCell ref="A30:J30"/>
    <mergeCell ref="A4:J4"/>
    <mergeCell ref="A24:J24"/>
    <mergeCell ref="A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workbookViewId="0">
      <pane ySplit="5" topLeftCell="A6" activePane="bottomLeft" state="frozen"/>
      <selection pane="bottomLeft" activeCell="A5" sqref="A5:H5"/>
    </sheetView>
  </sheetViews>
  <sheetFormatPr defaultRowHeight="15" x14ac:dyDescent="0.25"/>
  <cols>
    <col min="1" max="1" width="22" customWidth="1"/>
    <col min="2" max="2" width="18" customWidth="1"/>
    <col min="3" max="3" width="34" customWidth="1"/>
    <col min="4" max="4" width="12.140625" customWidth="1"/>
    <col min="5" max="6" width="14" customWidth="1"/>
    <col min="7" max="7" width="16" customWidth="1"/>
    <col min="8" max="8" width="34" customWidth="1"/>
  </cols>
  <sheetData>
    <row r="1" spans="1:8" ht="21" x14ac:dyDescent="0.35">
      <c r="A1" s="25" t="s">
        <v>61</v>
      </c>
      <c r="B1" s="26"/>
      <c r="C1" s="26"/>
      <c r="D1" s="26"/>
      <c r="E1" s="26"/>
      <c r="F1" s="26"/>
      <c r="G1" s="26"/>
      <c r="H1" s="26"/>
    </row>
    <row r="3" spans="1:8" x14ac:dyDescent="0.25">
      <c r="A3" s="27" t="s">
        <v>62</v>
      </c>
      <c r="B3" s="26"/>
      <c r="C3" s="26"/>
      <c r="D3" s="26"/>
      <c r="E3" s="26"/>
      <c r="F3" s="26"/>
      <c r="G3" s="26"/>
      <c r="H3" s="26"/>
    </row>
    <row r="5" spans="1:8" ht="30" x14ac:dyDescent="0.25">
      <c r="A5" s="19" t="s">
        <v>63</v>
      </c>
      <c r="B5" s="19" t="s">
        <v>64</v>
      </c>
      <c r="C5" s="19" t="s">
        <v>65</v>
      </c>
      <c r="D5" s="19" t="s">
        <v>23</v>
      </c>
      <c r="E5" s="19" t="s">
        <v>66</v>
      </c>
      <c r="F5" s="19" t="s">
        <v>67</v>
      </c>
      <c r="G5" s="19" t="s">
        <v>68</v>
      </c>
      <c r="H5" s="19" t="s">
        <v>69</v>
      </c>
    </row>
    <row r="6" spans="1:8" ht="30" x14ac:dyDescent="0.25">
      <c r="A6" s="20" t="s">
        <v>70</v>
      </c>
      <c r="B6" s="20" t="s">
        <v>32</v>
      </c>
      <c r="C6" s="20" t="s">
        <v>71</v>
      </c>
      <c r="D6" s="22">
        <v>2</v>
      </c>
      <c r="E6" s="22">
        <v>1700</v>
      </c>
      <c r="F6" s="22">
        <v>3400</v>
      </c>
      <c r="G6" s="20" t="s">
        <v>72</v>
      </c>
      <c r="H6" s="20" t="s">
        <v>73</v>
      </c>
    </row>
    <row r="7" spans="1:8" ht="30" x14ac:dyDescent="0.25">
      <c r="A7" s="20" t="s">
        <v>70</v>
      </c>
      <c r="B7" s="20" t="s">
        <v>34</v>
      </c>
      <c r="C7" s="20" t="s">
        <v>74</v>
      </c>
      <c r="D7" s="22">
        <v>1</v>
      </c>
      <c r="E7" s="22">
        <v>850</v>
      </c>
      <c r="F7" s="22">
        <v>850</v>
      </c>
      <c r="G7" s="20" t="s">
        <v>72</v>
      </c>
      <c r="H7" s="20" t="s">
        <v>73</v>
      </c>
    </row>
    <row r="8" spans="1:8" ht="30" x14ac:dyDescent="0.25">
      <c r="A8" s="20" t="s">
        <v>70</v>
      </c>
      <c r="B8" s="20" t="s">
        <v>35</v>
      </c>
      <c r="C8" s="20" t="s">
        <v>75</v>
      </c>
      <c r="D8" s="22">
        <v>1</v>
      </c>
      <c r="E8" s="22">
        <v>1360</v>
      </c>
      <c r="F8" s="22">
        <v>1360</v>
      </c>
      <c r="G8" s="20" t="s">
        <v>72</v>
      </c>
      <c r="H8" s="20" t="s">
        <v>73</v>
      </c>
    </row>
    <row r="9" spans="1:8" ht="30" x14ac:dyDescent="0.25">
      <c r="A9" s="20" t="s">
        <v>70</v>
      </c>
      <c r="B9" s="20" t="s">
        <v>36</v>
      </c>
      <c r="C9" s="20" t="s">
        <v>76</v>
      </c>
      <c r="D9" s="22">
        <v>1</v>
      </c>
      <c r="E9" s="22">
        <v>0</v>
      </c>
      <c r="F9" s="22">
        <v>0</v>
      </c>
      <c r="G9" s="20" t="s">
        <v>72</v>
      </c>
      <c r="H9" s="20" t="s">
        <v>77</v>
      </c>
    </row>
    <row r="10" spans="1:8" x14ac:dyDescent="0.25">
      <c r="A10" s="20" t="s">
        <v>78</v>
      </c>
      <c r="B10" s="20" t="s">
        <v>79</v>
      </c>
      <c r="C10" s="20" t="s">
        <v>80</v>
      </c>
      <c r="D10" s="22">
        <v>5</v>
      </c>
      <c r="E10" s="22">
        <v>100</v>
      </c>
      <c r="F10" s="22">
        <v>500</v>
      </c>
      <c r="G10" s="20" t="s">
        <v>81</v>
      </c>
      <c r="H10" s="20" t="s">
        <v>82</v>
      </c>
    </row>
    <row r="11" spans="1:8" ht="30" x14ac:dyDescent="0.25">
      <c r="A11" s="20" t="s">
        <v>78</v>
      </c>
      <c r="B11" s="20" t="s">
        <v>83</v>
      </c>
      <c r="C11" s="20" t="s">
        <v>84</v>
      </c>
      <c r="D11" s="22">
        <v>1</v>
      </c>
      <c r="E11" s="22">
        <v>30</v>
      </c>
      <c r="F11" s="22">
        <v>30</v>
      </c>
      <c r="G11" s="20" t="s">
        <v>81</v>
      </c>
      <c r="H11" s="20" t="s">
        <v>85</v>
      </c>
    </row>
    <row r="12" spans="1:8" ht="30" x14ac:dyDescent="0.25">
      <c r="A12" s="20" t="s">
        <v>86</v>
      </c>
      <c r="B12" s="20" t="s">
        <v>87</v>
      </c>
      <c r="C12" s="20" t="s">
        <v>88</v>
      </c>
      <c r="D12" s="22">
        <v>2.5</v>
      </c>
      <c r="E12" s="22">
        <v>1200</v>
      </c>
      <c r="F12" s="22">
        <v>3000</v>
      </c>
      <c r="G12" s="20" t="s">
        <v>72</v>
      </c>
      <c r="H12" s="20" t="s">
        <v>89</v>
      </c>
    </row>
    <row r="13" spans="1:8" x14ac:dyDescent="0.25">
      <c r="A13" s="20" t="s">
        <v>78</v>
      </c>
      <c r="B13" s="20" t="s">
        <v>90</v>
      </c>
      <c r="C13" s="20" t="s">
        <v>91</v>
      </c>
      <c r="D13" s="22">
        <v>2.5</v>
      </c>
      <c r="E13" s="22">
        <v>120</v>
      </c>
      <c r="F13" s="22">
        <v>300</v>
      </c>
      <c r="G13" s="20" t="s">
        <v>92</v>
      </c>
      <c r="H13" s="20" t="s">
        <v>93</v>
      </c>
    </row>
    <row r="14" spans="1:8" x14ac:dyDescent="0.25">
      <c r="A14" s="20" t="s">
        <v>86</v>
      </c>
      <c r="B14" s="20" t="s">
        <v>94</v>
      </c>
      <c r="C14" s="20" t="s">
        <v>95</v>
      </c>
      <c r="D14" s="22">
        <v>1</v>
      </c>
      <c r="E14" s="22">
        <v>3500</v>
      </c>
      <c r="F14" s="22">
        <v>3500</v>
      </c>
      <c r="G14" s="20" t="s">
        <v>72</v>
      </c>
      <c r="H14" s="20" t="s">
        <v>89</v>
      </c>
    </row>
    <row r="15" spans="1:8" x14ac:dyDescent="0.25">
      <c r="A15" s="20" t="s">
        <v>78</v>
      </c>
      <c r="B15" s="20" t="s">
        <v>90</v>
      </c>
      <c r="C15" s="20" t="s">
        <v>96</v>
      </c>
      <c r="D15" s="22">
        <v>1</v>
      </c>
      <c r="E15" s="22">
        <v>50</v>
      </c>
      <c r="F15" s="22">
        <v>50</v>
      </c>
      <c r="G15" s="20" t="s">
        <v>92</v>
      </c>
      <c r="H15" s="20" t="s">
        <v>97</v>
      </c>
    </row>
    <row r="16" spans="1:8" ht="30" x14ac:dyDescent="0.25">
      <c r="A16" s="20" t="s">
        <v>98</v>
      </c>
      <c r="B16" s="20" t="s">
        <v>99</v>
      </c>
      <c r="C16" s="20" t="s">
        <v>100</v>
      </c>
      <c r="D16" s="22">
        <v>1</v>
      </c>
      <c r="E16" s="21"/>
      <c r="F16" s="22">
        <v>1558.8</v>
      </c>
      <c r="G16" s="20" t="s">
        <v>81</v>
      </c>
      <c r="H16" s="20" t="s">
        <v>101</v>
      </c>
    </row>
    <row r="17" spans="1:8" x14ac:dyDescent="0.25">
      <c r="A17" s="20" t="s">
        <v>102</v>
      </c>
      <c r="B17" s="20" t="s">
        <v>102</v>
      </c>
      <c r="C17" s="20" t="s">
        <v>60</v>
      </c>
      <c r="D17" s="22">
        <v>1</v>
      </c>
      <c r="E17" s="21"/>
      <c r="F17" s="22">
        <v>14548.8</v>
      </c>
      <c r="G17" s="20"/>
      <c r="H17" s="20" t="s">
        <v>103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F17"/>
  <sheetViews>
    <sheetView workbookViewId="0"/>
  </sheetViews>
  <sheetFormatPr defaultRowHeight="15" x14ac:dyDescent="0.25"/>
  <cols>
    <col min="1" max="1" width="40" style="4" customWidth="1"/>
    <col min="2" max="2" width="21" style="4" customWidth="1"/>
    <col min="3" max="3" width="12" style="4" customWidth="1"/>
    <col min="4" max="5" width="10" style="4" customWidth="1"/>
    <col min="6" max="6" width="11" style="4" customWidth="1"/>
    <col min="7" max="7" width="18.5703125" style="4" customWidth="1"/>
    <col min="8" max="8" width="12.28515625" style="4" customWidth="1"/>
    <col min="9" max="10" width="9.140625" style="4" customWidth="1"/>
    <col min="11" max="16384" width="9.140625" style="4"/>
  </cols>
  <sheetData>
    <row r="1" spans="1:6" ht="30" x14ac:dyDescent="0.25">
      <c r="A1" s="5" t="s">
        <v>104</v>
      </c>
      <c r="B1" s="5" t="s">
        <v>22</v>
      </c>
      <c r="C1" s="5" t="s">
        <v>105</v>
      </c>
      <c r="D1" s="5" t="s">
        <v>106</v>
      </c>
      <c r="E1" s="5" t="s">
        <v>67</v>
      </c>
      <c r="F1" s="5" t="s">
        <v>107</v>
      </c>
    </row>
    <row r="2" spans="1:6" x14ac:dyDescent="0.25">
      <c r="A2" s="4" t="s">
        <v>10</v>
      </c>
      <c r="B2" s="3" t="s">
        <v>32</v>
      </c>
      <c r="C2" s="3" t="s">
        <v>12</v>
      </c>
      <c r="D2" s="3" t="s">
        <v>14</v>
      </c>
      <c r="E2" s="3">
        <v>2000</v>
      </c>
      <c r="F2" s="3" t="s">
        <v>108</v>
      </c>
    </row>
    <row r="3" spans="1:6" ht="30" x14ac:dyDescent="0.25">
      <c r="A3" s="4" t="s">
        <v>10</v>
      </c>
      <c r="B3" s="3" t="s">
        <v>32</v>
      </c>
      <c r="C3" s="3" t="s">
        <v>109</v>
      </c>
      <c r="D3" s="3" t="s">
        <v>14</v>
      </c>
      <c r="E3" s="3">
        <v>1600</v>
      </c>
      <c r="F3" s="3" t="s">
        <v>108</v>
      </c>
    </row>
    <row r="4" spans="1:6" x14ac:dyDescent="0.25">
      <c r="A4" s="4" t="s">
        <v>10</v>
      </c>
      <c r="B4" s="3" t="s">
        <v>32</v>
      </c>
      <c r="C4" s="3" t="s">
        <v>12</v>
      </c>
      <c r="D4" s="3" t="s">
        <v>14</v>
      </c>
      <c r="E4" s="3">
        <v>2000</v>
      </c>
      <c r="F4" s="3" t="s">
        <v>108</v>
      </c>
    </row>
    <row r="5" spans="1:6" ht="30" x14ac:dyDescent="0.25">
      <c r="A5" s="4" t="s">
        <v>10</v>
      </c>
      <c r="B5" s="3" t="s">
        <v>32</v>
      </c>
      <c r="C5" s="3" t="s">
        <v>109</v>
      </c>
      <c r="D5" s="3" t="s">
        <v>14</v>
      </c>
      <c r="E5" s="3">
        <v>1600</v>
      </c>
      <c r="F5" s="3" t="s">
        <v>108</v>
      </c>
    </row>
    <row r="10" spans="1:6" ht="15" customHeight="1" x14ac:dyDescent="0.25">
      <c r="A10" s="29" t="s">
        <v>110</v>
      </c>
      <c r="B10" s="30"/>
      <c r="C10" s="30"/>
      <c r="D10" s="30"/>
      <c r="E10" s="30"/>
      <c r="F10" s="30"/>
    </row>
    <row r="11" spans="1:6" ht="15" customHeight="1" x14ac:dyDescent="0.25">
      <c r="A11" s="30"/>
      <c r="B11" s="30"/>
      <c r="C11" s="30"/>
      <c r="D11" s="30"/>
      <c r="E11" s="30"/>
      <c r="F11" s="30"/>
    </row>
    <row r="12" spans="1:6" ht="15" customHeight="1" x14ac:dyDescent="0.25">
      <c r="A12" s="30"/>
      <c r="B12" s="30"/>
      <c r="C12" s="30"/>
      <c r="D12" s="30"/>
      <c r="E12" s="30"/>
      <c r="F12" s="30"/>
    </row>
    <row r="13" spans="1:6" ht="15" customHeight="1" x14ac:dyDescent="0.25">
      <c r="A13" s="30"/>
      <c r="B13" s="30"/>
      <c r="C13" s="30"/>
      <c r="D13" s="30"/>
      <c r="E13" s="30"/>
      <c r="F13" s="30"/>
    </row>
    <row r="14" spans="1:6" ht="15" customHeight="1" x14ac:dyDescent="0.25">
      <c r="A14" s="30"/>
      <c r="B14" s="30"/>
      <c r="C14" s="30"/>
      <c r="D14" s="30"/>
      <c r="E14" s="30"/>
      <c r="F14" s="30"/>
    </row>
    <row r="15" spans="1:6" ht="15" customHeight="1" x14ac:dyDescent="0.25">
      <c r="A15" s="30"/>
      <c r="B15" s="30"/>
      <c r="C15" s="30"/>
      <c r="D15" s="30"/>
      <c r="E15" s="30"/>
      <c r="F15" s="30"/>
    </row>
    <row r="16" spans="1:6" ht="15" customHeight="1" x14ac:dyDescent="0.25">
      <c r="A16" s="30"/>
      <c r="B16" s="30"/>
      <c r="C16" s="30"/>
      <c r="D16" s="30"/>
      <c r="E16" s="30"/>
      <c r="F16" s="30"/>
    </row>
    <row r="17" spans="1:6" ht="15" customHeight="1" x14ac:dyDescent="0.25">
      <c r="A17" s="30"/>
      <c r="B17" s="30"/>
      <c r="C17" s="30"/>
      <c r="D17" s="30"/>
      <c r="E17" s="30"/>
      <c r="F17" s="30"/>
    </row>
  </sheetData>
  <mergeCells count="1">
    <mergeCell ref="A10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O4"/>
  <sheetViews>
    <sheetView workbookViewId="0"/>
  </sheetViews>
  <sheetFormatPr defaultRowHeight="15" x14ac:dyDescent="0.25"/>
  <cols>
    <col min="1" max="1" width="24.28515625" style="4" customWidth="1"/>
    <col min="2" max="2" width="32.140625" style="4" customWidth="1"/>
    <col min="3" max="3" width="29.7109375" style="4" customWidth="1"/>
    <col min="4" max="4" width="13.5703125" style="4" customWidth="1"/>
    <col min="5" max="5" width="14.42578125" style="4" customWidth="1"/>
    <col min="6" max="6" width="13.42578125" style="4" customWidth="1"/>
    <col min="7" max="7" width="8.28515625" style="4" customWidth="1"/>
    <col min="8" max="8" width="11.42578125" style="4" customWidth="1"/>
    <col min="9" max="9" width="18" style="4" customWidth="1"/>
    <col min="10" max="10" width="13.42578125" style="4" customWidth="1"/>
    <col min="11" max="11" width="13.7109375" style="4" customWidth="1"/>
    <col min="12" max="12" width="16.85546875" style="4" customWidth="1"/>
    <col min="13" max="13" width="14" style="4" customWidth="1"/>
    <col min="14" max="14" width="9.42578125" style="4" customWidth="1"/>
    <col min="15" max="15" width="10" style="4" customWidth="1"/>
    <col min="16" max="17" width="9.140625" style="4" customWidth="1"/>
    <col min="18" max="16384" width="9.140625" style="4"/>
  </cols>
  <sheetData>
    <row r="1" spans="1:15" ht="15" customHeight="1" x14ac:dyDescent="0.25">
      <c r="A1" s="5" t="s">
        <v>111</v>
      </c>
      <c r="B1" s="5" t="s">
        <v>112</v>
      </c>
      <c r="C1" s="5" t="s">
        <v>113</v>
      </c>
      <c r="D1" s="5" t="s">
        <v>104</v>
      </c>
      <c r="E1" s="5" t="s">
        <v>105</v>
      </c>
      <c r="F1" s="5" t="s">
        <v>114</v>
      </c>
      <c r="G1" s="5" t="s">
        <v>115</v>
      </c>
      <c r="H1" s="5" t="s">
        <v>106</v>
      </c>
      <c r="I1" s="5" t="s">
        <v>116</v>
      </c>
      <c r="J1" s="5" t="s">
        <v>117</v>
      </c>
      <c r="K1" s="5" t="s">
        <v>118</v>
      </c>
      <c r="L1" s="5" t="s">
        <v>119</v>
      </c>
      <c r="M1" s="5" t="s">
        <v>120</v>
      </c>
      <c r="N1" s="5" t="s">
        <v>121</v>
      </c>
      <c r="O1" s="5" t="s">
        <v>107</v>
      </c>
    </row>
    <row r="2" spans="1:15" ht="15" customHeight="1" x14ac:dyDescent="0.25">
      <c r="A2" s="3" t="s">
        <v>122</v>
      </c>
      <c r="B2" s="3" t="s">
        <v>36</v>
      </c>
      <c r="C2" s="3" t="s">
        <v>32</v>
      </c>
      <c r="D2" s="3" t="s">
        <v>19</v>
      </c>
      <c r="E2" s="3" t="s">
        <v>19</v>
      </c>
      <c r="F2" s="3" t="s">
        <v>123</v>
      </c>
      <c r="G2" s="3">
        <v>0</v>
      </c>
      <c r="H2" s="3" t="s">
        <v>14</v>
      </c>
      <c r="I2" s="3" t="s">
        <v>124</v>
      </c>
      <c r="J2" s="3">
        <v>0</v>
      </c>
      <c r="K2" s="3">
        <v>0</v>
      </c>
      <c r="L2" s="6">
        <v>46023</v>
      </c>
      <c r="M2" s="3"/>
      <c r="N2" s="3">
        <v>1000</v>
      </c>
      <c r="O2" s="3" t="s">
        <v>108</v>
      </c>
    </row>
    <row r="3" spans="1:15" ht="15" customHeight="1" x14ac:dyDescent="0.25">
      <c r="A3" s="3" t="s">
        <v>125</v>
      </c>
      <c r="B3" s="3" t="s">
        <v>34</v>
      </c>
      <c r="C3" s="3" t="s">
        <v>32</v>
      </c>
      <c r="D3" s="3" t="s">
        <v>19</v>
      </c>
      <c r="E3" s="3" t="s">
        <v>19</v>
      </c>
      <c r="F3" s="3" t="s">
        <v>126</v>
      </c>
      <c r="G3" s="3">
        <v>0.5</v>
      </c>
      <c r="H3" s="3" t="s">
        <v>14</v>
      </c>
      <c r="I3" s="3" t="s">
        <v>127</v>
      </c>
      <c r="J3" s="3">
        <v>0</v>
      </c>
      <c r="K3" s="3"/>
      <c r="L3" s="6">
        <v>46023</v>
      </c>
      <c r="M3" s="3"/>
      <c r="N3" s="3">
        <v>1000</v>
      </c>
      <c r="O3" s="3" t="s">
        <v>108</v>
      </c>
    </row>
    <row r="4" spans="1:15" ht="15" customHeight="1" x14ac:dyDescent="0.25">
      <c r="A4" s="3" t="s">
        <v>128</v>
      </c>
      <c r="B4" s="3" t="s">
        <v>35</v>
      </c>
      <c r="C4" s="3" t="s">
        <v>32</v>
      </c>
      <c r="D4" s="3" t="s">
        <v>19</v>
      </c>
      <c r="E4" s="3" t="s">
        <v>19</v>
      </c>
      <c r="F4" s="3" t="s">
        <v>129</v>
      </c>
      <c r="G4" s="3">
        <v>20</v>
      </c>
      <c r="H4" s="3" t="s">
        <v>14</v>
      </c>
      <c r="I4" s="3" t="s">
        <v>127</v>
      </c>
      <c r="J4" s="3">
        <v>0</v>
      </c>
      <c r="K4" s="3"/>
      <c r="L4" s="6">
        <v>46023</v>
      </c>
      <c r="M4" s="3"/>
      <c r="N4" s="3">
        <v>1000</v>
      </c>
      <c r="O4" s="3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F25"/>
  <sheetViews>
    <sheetView workbookViewId="0"/>
  </sheetViews>
  <sheetFormatPr defaultRowHeight="15" x14ac:dyDescent="0.25"/>
  <cols>
    <col min="1" max="1" width="40" customWidth="1"/>
    <col min="2" max="2" width="17" customWidth="1"/>
    <col min="3" max="3" width="18" customWidth="1"/>
    <col min="4" max="5" width="10" customWidth="1"/>
    <col min="6" max="6" width="11" customWidth="1"/>
    <col min="7" max="7" width="16.28515625" customWidth="1"/>
    <col min="8" max="8" width="12.28515625" customWidth="1"/>
  </cols>
  <sheetData>
    <row r="1" spans="1:6" x14ac:dyDescent="0.25">
      <c r="A1" s="1" t="s">
        <v>104</v>
      </c>
      <c r="B1" s="1" t="s">
        <v>39</v>
      </c>
      <c r="C1" s="1" t="s">
        <v>40</v>
      </c>
      <c r="D1" s="1" t="s">
        <v>106</v>
      </c>
      <c r="E1" s="1" t="s">
        <v>67</v>
      </c>
      <c r="F1" s="1" t="s">
        <v>107</v>
      </c>
    </row>
    <row r="2" spans="1:6" x14ac:dyDescent="0.25">
      <c r="A2" t="s">
        <v>10</v>
      </c>
      <c r="B2" t="s">
        <v>52</v>
      </c>
      <c r="C2" t="s">
        <v>130</v>
      </c>
      <c r="D2" t="s">
        <v>14</v>
      </c>
      <c r="E2">
        <v>500</v>
      </c>
      <c r="F2" t="s">
        <v>108</v>
      </c>
    </row>
    <row r="3" spans="1:6" x14ac:dyDescent="0.25">
      <c r="A3" t="s">
        <v>10</v>
      </c>
      <c r="B3" t="s">
        <v>52</v>
      </c>
      <c r="C3" t="s">
        <v>53</v>
      </c>
      <c r="D3" t="s">
        <v>14</v>
      </c>
      <c r="E3">
        <v>2500</v>
      </c>
      <c r="F3" t="s">
        <v>108</v>
      </c>
    </row>
    <row r="4" spans="1:6" x14ac:dyDescent="0.25">
      <c r="A4" t="s">
        <v>10</v>
      </c>
      <c r="B4" t="s">
        <v>52</v>
      </c>
      <c r="C4" t="s">
        <v>131</v>
      </c>
      <c r="D4" t="s">
        <v>14</v>
      </c>
      <c r="E4">
        <v>3000</v>
      </c>
      <c r="F4" t="s">
        <v>108</v>
      </c>
    </row>
    <row r="5" spans="1:6" x14ac:dyDescent="0.25">
      <c r="A5" t="s">
        <v>10</v>
      </c>
      <c r="B5" t="s">
        <v>132</v>
      </c>
      <c r="C5" t="s">
        <v>133</v>
      </c>
      <c r="D5" t="s">
        <v>14</v>
      </c>
      <c r="E5">
        <v>200</v>
      </c>
      <c r="F5" t="s">
        <v>108</v>
      </c>
    </row>
    <row r="6" spans="1:6" x14ac:dyDescent="0.25">
      <c r="A6" t="s">
        <v>10</v>
      </c>
      <c r="B6" t="s">
        <v>132</v>
      </c>
      <c r="C6" t="s">
        <v>134</v>
      </c>
      <c r="D6" t="s">
        <v>14</v>
      </c>
      <c r="E6">
        <v>350</v>
      </c>
      <c r="F6" t="s">
        <v>108</v>
      </c>
    </row>
    <row r="7" spans="1:6" x14ac:dyDescent="0.25">
      <c r="A7" t="s">
        <v>10</v>
      </c>
      <c r="B7" t="s">
        <v>48</v>
      </c>
      <c r="C7" t="s">
        <v>49</v>
      </c>
      <c r="D7" t="s">
        <v>14</v>
      </c>
      <c r="E7">
        <v>1200</v>
      </c>
      <c r="F7" t="s">
        <v>108</v>
      </c>
    </row>
    <row r="8" spans="1:6" x14ac:dyDescent="0.25">
      <c r="A8" t="s">
        <v>10</v>
      </c>
      <c r="B8" t="s">
        <v>48</v>
      </c>
      <c r="C8" t="s">
        <v>135</v>
      </c>
      <c r="D8" t="s">
        <v>14</v>
      </c>
      <c r="E8">
        <v>1500</v>
      </c>
      <c r="F8" t="s">
        <v>108</v>
      </c>
    </row>
    <row r="9" spans="1:6" x14ac:dyDescent="0.25">
      <c r="A9" t="s">
        <v>136</v>
      </c>
      <c r="B9" t="s">
        <v>52</v>
      </c>
      <c r="C9" t="s">
        <v>130</v>
      </c>
      <c r="D9" t="s">
        <v>14</v>
      </c>
      <c r="E9">
        <v>500</v>
      </c>
      <c r="F9" t="s">
        <v>108</v>
      </c>
    </row>
    <row r="10" spans="1:6" x14ac:dyDescent="0.25">
      <c r="A10" t="s">
        <v>136</v>
      </c>
      <c r="B10" t="s">
        <v>52</v>
      </c>
      <c r="C10" t="s">
        <v>53</v>
      </c>
      <c r="D10" t="s">
        <v>14</v>
      </c>
      <c r="E10">
        <v>2500</v>
      </c>
      <c r="F10" t="s">
        <v>108</v>
      </c>
    </row>
    <row r="11" spans="1:6" x14ac:dyDescent="0.25">
      <c r="A11" t="s">
        <v>136</v>
      </c>
      <c r="B11" t="s">
        <v>52</v>
      </c>
      <c r="C11" t="s">
        <v>131</v>
      </c>
      <c r="D11" t="s">
        <v>14</v>
      </c>
      <c r="E11">
        <v>3000</v>
      </c>
      <c r="F11" t="s">
        <v>108</v>
      </c>
    </row>
    <row r="12" spans="1:6" x14ac:dyDescent="0.25">
      <c r="A12" t="s">
        <v>136</v>
      </c>
      <c r="B12" t="s">
        <v>132</v>
      </c>
      <c r="C12" t="s">
        <v>133</v>
      </c>
      <c r="D12" t="s">
        <v>14</v>
      </c>
      <c r="E12">
        <v>200</v>
      </c>
      <c r="F12" t="s">
        <v>108</v>
      </c>
    </row>
    <row r="13" spans="1:6" x14ac:dyDescent="0.25">
      <c r="A13" t="s">
        <v>136</v>
      </c>
      <c r="B13" t="s">
        <v>132</v>
      </c>
      <c r="C13" t="s">
        <v>134</v>
      </c>
      <c r="D13" t="s">
        <v>14</v>
      </c>
      <c r="E13">
        <v>350</v>
      </c>
      <c r="F13" t="s">
        <v>108</v>
      </c>
    </row>
    <row r="14" spans="1:6" x14ac:dyDescent="0.25">
      <c r="A14" t="s">
        <v>136</v>
      </c>
      <c r="B14" t="s">
        <v>48</v>
      </c>
      <c r="C14" t="s">
        <v>49</v>
      </c>
      <c r="D14" t="s">
        <v>14</v>
      </c>
      <c r="E14">
        <v>1200</v>
      </c>
      <c r="F14" t="s">
        <v>108</v>
      </c>
    </row>
    <row r="15" spans="1:6" x14ac:dyDescent="0.25">
      <c r="A15" t="s">
        <v>136</v>
      </c>
      <c r="B15" t="s">
        <v>48</v>
      </c>
      <c r="C15" t="s">
        <v>135</v>
      </c>
      <c r="D15" t="s">
        <v>14</v>
      </c>
      <c r="E15">
        <v>1500</v>
      </c>
      <c r="F15" t="s">
        <v>108</v>
      </c>
    </row>
    <row r="18" spans="1:6" ht="15" customHeight="1" x14ac:dyDescent="0.25">
      <c r="A18" s="29" t="s">
        <v>137</v>
      </c>
      <c r="B18" s="26"/>
      <c r="C18" s="26"/>
      <c r="D18" s="26"/>
      <c r="E18" s="26"/>
      <c r="F18" s="26"/>
    </row>
    <row r="19" spans="1:6" ht="15" customHeight="1" x14ac:dyDescent="0.25">
      <c r="A19" s="26"/>
      <c r="B19" s="26"/>
      <c r="C19" s="26"/>
      <c r="D19" s="26"/>
      <c r="E19" s="26"/>
      <c r="F19" s="26"/>
    </row>
    <row r="20" spans="1:6" ht="15" customHeight="1" x14ac:dyDescent="0.25">
      <c r="A20" s="26"/>
      <c r="B20" s="26"/>
      <c r="C20" s="26"/>
      <c r="D20" s="26"/>
      <c r="E20" s="26"/>
      <c r="F20" s="26"/>
    </row>
    <row r="21" spans="1:6" ht="15" customHeight="1" x14ac:dyDescent="0.25">
      <c r="A21" s="26"/>
      <c r="B21" s="26"/>
      <c r="C21" s="26"/>
      <c r="D21" s="26"/>
      <c r="E21" s="26"/>
      <c r="F21" s="26"/>
    </row>
    <row r="22" spans="1:6" ht="15" customHeight="1" x14ac:dyDescent="0.25">
      <c r="A22" s="26"/>
      <c r="B22" s="26"/>
      <c r="C22" s="26"/>
      <c r="D22" s="26"/>
      <c r="E22" s="26"/>
      <c r="F22" s="26"/>
    </row>
    <row r="23" spans="1:6" ht="15" customHeight="1" x14ac:dyDescent="0.25">
      <c r="A23" s="26"/>
      <c r="B23" s="26"/>
      <c r="C23" s="26"/>
      <c r="D23" s="26"/>
      <c r="E23" s="26"/>
      <c r="F23" s="26"/>
    </row>
    <row r="24" spans="1:6" ht="15" customHeight="1" x14ac:dyDescent="0.25">
      <c r="A24" s="26"/>
      <c r="B24" s="26"/>
      <c r="C24" s="26"/>
      <c r="D24" s="26"/>
      <c r="E24" s="26"/>
      <c r="F24" s="26"/>
    </row>
    <row r="25" spans="1:6" ht="15" customHeight="1" x14ac:dyDescent="0.25">
      <c r="A25" s="26"/>
      <c r="B25" s="26"/>
      <c r="C25" s="26"/>
      <c r="D25" s="26"/>
      <c r="E25" s="26"/>
      <c r="F25" s="26"/>
    </row>
  </sheetData>
  <mergeCells count="1">
    <mergeCell ref="A18:F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K25"/>
  <sheetViews>
    <sheetView workbookViewId="0">
      <selection activeCell="H2" sqref="H2:I2"/>
    </sheetView>
  </sheetViews>
  <sheetFormatPr defaultRowHeight="15" x14ac:dyDescent="0.25"/>
  <cols>
    <col min="1" max="1" width="40" customWidth="1"/>
    <col min="2" max="2" width="19" customWidth="1"/>
    <col min="3" max="4" width="12" customWidth="1"/>
    <col min="5" max="5" width="21" customWidth="1"/>
    <col min="6" max="7" width="10" customWidth="1"/>
    <col min="8" max="9" width="21" customWidth="1"/>
    <col min="10" max="10" width="10" customWidth="1"/>
    <col min="11" max="11" width="11" customWidth="1"/>
  </cols>
  <sheetData>
    <row r="1" spans="1:11" x14ac:dyDescent="0.25">
      <c r="A1" s="1" t="s">
        <v>138</v>
      </c>
      <c r="B1" s="1" t="s">
        <v>139</v>
      </c>
      <c r="C1" s="1" t="s">
        <v>104</v>
      </c>
      <c r="D1" s="1" t="s">
        <v>105</v>
      </c>
      <c r="E1" s="1" t="s">
        <v>22</v>
      </c>
      <c r="F1" s="1" t="s">
        <v>106</v>
      </c>
      <c r="G1" s="1" t="s">
        <v>67</v>
      </c>
      <c r="H1" s="1" t="s">
        <v>119</v>
      </c>
      <c r="I1" s="1" t="s">
        <v>120</v>
      </c>
      <c r="J1" s="1" t="s">
        <v>121</v>
      </c>
      <c r="K1" s="1" t="s">
        <v>107</v>
      </c>
    </row>
    <row r="2" spans="1:11" x14ac:dyDescent="0.25">
      <c r="A2" t="s">
        <v>140</v>
      </c>
      <c r="B2" t="s">
        <v>141</v>
      </c>
      <c r="C2" s="4" t="s">
        <v>136</v>
      </c>
      <c r="D2" t="s">
        <v>12</v>
      </c>
      <c r="E2" t="s">
        <v>32</v>
      </c>
      <c r="F2" t="s">
        <v>14</v>
      </c>
      <c r="G2">
        <v>2100</v>
      </c>
      <c r="H2" s="2">
        <v>46082</v>
      </c>
      <c r="I2" s="2">
        <v>46112</v>
      </c>
      <c r="J2">
        <v>100</v>
      </c>
      <c r="K2" t="s">
        <v>108</v>
      </c>
    </row>
    <row r="13" spans="1:11" ht="15" customHeight="1" x14ac:dyDescent="0.25">
      <c r="A13" s="26" t="s">
        <v>17</v>
      </c>
      <c r="B13" s="26"/>
      <c r="C13" s="26"/>
      <c r="D13" s="26"/>
      <c r="E13" s="26"/>
      <c r="F13" s="26"/>
      <c r="G13" s="26"/>
      <c r="H13" s="24">
        <v>46023</v>
      </c>
      <c r="I13" s="24">
        <v>46053</v>
      </c>
      <c r="J13">
        <v>200</v>
      </c>
      <c r="K13" t="s">
        <v>108</v>
      </c>
    </row>
    <row r="14" spans="1:11" ht="15" customHeight="1" x14ac:dyDescent="0.25">
      <c r="A14" s="26"/>
      <c r="B14" s="26"/>
      <c r="C14" s="26"/>
      <c r="D14" s="26"/>
      <c r="E14" s="26"/>
      <c r="F14" s="26"/>
      <c r="G14" s="26"/>
      <c r="H14" s="24">
        <v>46023</v>
      </c>
      <c r="I14" s="24">
        <v>46053</v>
      </c>
      <c r="J14">
        <v>199</v>
      </c>
      <c r="K14" t="s">
        <v>108</v>
      </c>
    </row>
    <row r="15" spans="1:11" ht="15" customHeight="1" x14ac:dyDescent="0.25">
      <c r="A15" s="26"/>
      <c r="B15" s="26"/>
      <c r="C15" s="26"/>
      <c r="D15" s="26"/>
      <c r="E15" s="26"/>
      <c r="F15" s="26"/>
      <c r="G15" s="26"/>
      <c r="H15" s="24">
        <v>46023</v>
      </c>
      <c r="I15" s="24">
        <v>46053</v>
      </c>
      <c r="J15">
        <v>198</v>
      </c>
      <c r="K15" t="s">
        <v>108</v>
      </c>
    </row>
    <row r="16" spans="1:11" ht="15" customHeight="1" x14ac:dyDescent="0.25">
      <c r="A16" s="26"/>
      <c r="B16" s="26"/>
      <c r="C16" s="26"/>
      <c r="D16" s="26"/>
      <c r="E16" s="26"/>
      <c r="F16" s="26"/>
      <c r="G16" s="26"/>
      <c r="H16" s="24">
        <v>46023</v>
      </c>
      <c r="I16" s="24">
        <v>46053</v>
      </c>
      <c r="J16">
        <v>197</v>
      </c>
      <c r="K16" t="s">
        <v>108</v>
      </c>
    </row>
    <row r="17" spans="1:7" ht="15" customHeight="1" x14ac:dyDescent="0.25">
      <c r="A17" s="26"/>
      <c r="B17" s="26"/>
      <c r="C17" s="26"/>
      <c r="D17" s="26"/>
      <c r="E17" s="26"/>
      <c r="F17" s="26"/>
      <c r="G17" s="26"/>
    </row>
    <row r="18" spans="1:7" ht="15" customHeight="1" x14ac:dyDescent="0.25">
      <c r="A18" s="26"/>
      <c r="B18" s="26"/>
      <c r="C18" s="26"/>
      <c r="D18" s="26"/>
      <c r="E18" s="26"/>
      <c r="F18" s="26"/>
      <c r="G18" s="26"/>
    </row>
    <row r="19" spans="1:7" ht="15" customHeight="1" x14ac:dyDescent="0.25">
      <c r="A19" s="26"/>
      <c r="B19" s="26"/>
      <c r="C19" s="26"/>
      <c r="D19" s="26"/>
      <c r="E19" s="26"/>
      <c r="F19" s="26"/>
      <c r="G19" s="26"/>
    </row>
    <row r="20" spans="1:7" ht="15" customHeight="1" x14ac:dyDescent="0.25">
      <c r="A20" s="26"/>
      <c r="B20" s="26"/>
      <c r="C20" s="26"/>
      <c r="D20" s="26"/>
      <c r="E20" s="26"/>
      <c r="F20" s="26"/>
      <c r="G20" s="26"/>
    </row>
    <row r="21" spans="1:7" ht="15" customHeight="1" x14ac:dyDescent="0.25">
      <c r="A21" s="26"/>
      <c r="B21" s="26"/>
      <c r="C21" s="26"/>
      <c r="D21" s="26"/>
      <c r="E21" s="26"/>
      <c r="F21" s="26"/>
      <c r="G21" s="26"/>
    </row>
    <row r="22" spans="1:7" ht="15" customHeight="1" x14ac:dyDescent="0.25">
      <c r="A22" s="26"/>
      <c r="B22" s="26"/>
      <c r="C22" s="26"/>
      <c r="D22" s="26"/>
      <c r="E22" s="26"/>
      <c r="F22" s="26"/>
      <c r="G22" s="26"/>
    </row>
    <row r="23" spans="1:7" ht="15" customHeight="1" x14ac:dyDescent="0.25">
      <c r="A23" s="26"/>
      <c r="B23" s="26"/>
      <c r="C23" s="26"/>
      <c r="D23" s="26"/>
      <c r="E23" s="26"/>
      <c r="F23" s="26"/>
      <c r="G23" s="26"/>
    </row>
    <row r="24" spans="1:7" ht="15" customHeight="1" x14ac:dyDescent="0.25">
      <c r="A24" s="26"/>
      <c r="B24" s="26"/>
      <c r="C24" s="26"/>
      <c r="D24" s="26"/>
      <c r="E24" s="26"/>
      <c r="F24" s="26"/>
      <c r="G24" s="26"/>
    </row>
    <row r="25" spans="1:7" ht="15" customHeight="1" x14ac:dyDescent="0.25">
      <c r="A25" s="26"/>
      <c r="B25" s="26"/>
      <c r="C25" s="26"/>
      <c r="D25" s="26"/>
      <c r="E25" s="26"/>
      <c r="F25" s="26"/>
      <c r="G25" s="26"/>
    </row>
  </sheetData>
  <mergeCells count="1">
    <mergeCell ref="A13:G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K25"/>
  <sheetViews>
    <sheetView workbookViewId="0"/>
  </sheetViews>
  <sheetFormatPr defaultRowHeight="15" x14ac:dyDescent="0.25"/>
  <cols>
    <col min="1" max="1" width="40" customWidth="1"/>
    <col min="2" max="2" width="22" customWidth="1"/>
    <col min="3" max="3" width="12" customWidth="1"/>
    <col min="4" max="4" width="17" customWidth="1"/>
    <col min="5" max="5" width="18" customWidth="1"/>
    <col min="6" max="7" width="10" customWidth="1"/>
    <col min="8" max="9" width="21" customWidth="1"/>
    <col min="10" max="10" width="10" customWidth="1"/>
    <col min="11" max="11" width="11" customWidth="1"/>
  </cols>
  <sheetData>
    <row r="1" spans="1:11" x14ac:dyDescent="0.25">
      <c r="A1" s="1" t="s">
        <v>138</v>
      </c>
      <c r="B1" s="1" t="s">
        <v>139</v>
      </c>
      <c r="C1" s="1" t="s">
        <v>104</v>
      </c>
      <c r="D1" s="1" t="s">
        <v>39</v>
      </c>
      <c r="E1" s="1" t="s">
        <v>40</v>
      </c>
      <c r="F1" s="1" t="s">
        <v>106</v>
      </c>
      <c r="G1" s="1" t="s">
        <v>67</v>
      </c>
      <c r="H1" s="1" t="s">
        <v>119</v>
      </c>
      <c r="I1" s="1" t="s">
        <v>120</v>
      </c>
      <c r="J1" s="1" t="s">
        <v>121</v>
      </c>
      <c r="K1" s="1" t="s">
        <v>107</v>
      </c>
    </row>
    <row r="2" spans="1:11" x14ac:dyDescent="0.25">
      <c r="A2" t="s">
        <v>142</v>
      </c>
      <c r="B2" t="s">
        <v>143</v>
      </c>
      <c r="C2" t="s">
        <v>10</v>
      </c>
      <c r="D2" t="s">
        <v>52</v>
      </c>
      <c r="E2" t="s">
        <v>131</v>
      </c>
      <c r="F2" t="s">
        <v>14</v>
      </c>
      <c r="G2">
        <v>2700</v>
      </c>
      <c r="H2" s="2">
        <v>46082</v>
      </c>
      <c r="I2" s="2">
        <v>46112</v>
      </c>
      <c r="J2">
        <v>100</v>
      </c>
      <c r="K2" t="s">
        <v>108</v>
      </c>
    </row>
    <row r="13" spans="1:11" ht="15" customHeight="1" x14ac:dyDescent="0.25">
      <c r="A13" s="29" t="s">
        <v>144</v>
      </c>
      <c r="B13" s="26"/>
      <c r="C13" s="26"/>
      <c r="D13" s="26"/>
      <c r="E13" s="26"/>
      <c r="F13" s="26"/>
      <c r="G13" s="26"/>
    </row>
    <row r="14" spans="1:11" ht="15" customHeight="1" x14ac:dyDescent="0.25">
      <c r="A14" s="26"/>
      <c r="B14" s="26"/>
      <c r="C14" s="26"/>
      <c r="D14" s="26"/>
      <c r="E14" s="26"/>
      <c r="F14" s="26"/>
      <c r="G14" s="26"/>
    </row>
    <row r="15" spans="1:11" ht="15" customHeight="1" x14ac:dyDescent="0.25">
      <c r="A15" s="26"/>
      <c r="B15" s="26"/>
      <c r="C15" s="26"/>
      <c r="D15" s="26"/>
      <c r="E15" s="26"/>
      <c r="F15" s="26"/>
      <c r="G15" s="26"/>
    </row>
    <row r="16" spans="1:11" ht="15" customHeight="1" x14ac:dyDescent="0.25">
      <c r="A16" s="26"/>
      <c r="B16" s="26"/>
      <c r="C16" s="26"/>
      <c r="D16" s="26"/>
      <c r="E16" s="26"/>
      <c r="F16" s="26"/>
      <c r="G16" s="26"/>
    </row>
    <row r="17" spans="1:7" ht="15" customHeight="1" x14ac:dyDescent="0.25">
      <c r="A17" s="26"/>
      <c r="B17" s="26"/>
      <c r="C17" s="26"/>
      <c r="D17" s="26"/>
      <c r="E17" s="26"/>
      <c r="F17" s="26"/>
      <c r="G17" s="26"/>
    </row>
    <row r="18" spans="1:7" ht="15" customHeight="1" x14ac:dyDescent="0.25">
      <c r="A18" s="26"/>
      <c r="B18" s="26"/>
      <c r="C18" s="26"/>
      <c r="D18" s="26"/>
      <c r="E18" s="26"/>
      <c r="F18" s="26"/>
      <c r="G18" s="26"/>
    </row>
    <row r="19" spans="1:7" ht="15" customHeight="1" x14ac:dyDescent="0.25">
      <c r="A19" s="26"/>
      <c r="B19" s="26"/>
      <c r="C19" s="26"/>
      <c r="D19" s="26"/>
      <c r="E19" s="26"/>
      <c r="F19" s="26"/>
      <c r="G19" s="26"/>
    </row>
    <row r="20" spans="1:7" ht="15" customHeight="1" x14ac:dyDescent="0.25">
      <c r="A20" s="26"/>
      <c r="B20" s="26"/>
      <c r="C20" s="26"/>
      <c r="D20" s="26"/>
      <c r="E20" s="26"/>
      <c r="F20" s="26"/>
      <c r="G20" s="26"/>
    </row>
    <row r="21" spans="1:7" ht="15" customHeight="1" x14ac:dyDescent="0.25">
      <c r="A21" s="26"/>
      <c r="B21" s="26"/>
      <c r="C21" s="26"/>
      <c r="D21" s="26"/>
      <c r="E21" s="26"/>
      <c r="F21" s="26"/>
      <c r="G21" s="26"/>
    </row>
    <row r="22" spans="1:7" ht="15" customHeight="1" x14ac:dyDescent="0.25">
      <c r="A22" s="26"/>
      <c r="B22" s="26"/>
      <c r="C22" s="26"/>
      <c r="D22" s="26"/>
      <c r="E22" s="26"/>
      <c r="F22" s="26"/>
      <c r="G22" s="26"/>
    </row>
    <row r="23" spans="1:7" ht="15" customHeight="1" x14ac:dyDescent="0.25">
      <c r="A23" s="26"/>
      <c r="B23" s="26"/>
      <c r="C23" s="26"/>
      <c r="D23" s="26"/>
      <c r="E23" s="26"/>
      <c r="F23" s="26"/>
      <c r="G23" s="26"/>
    </row>
    <row r="24" spans="1:7" ht="15" customHeight="1" x14ac:dyDescent="0.25">
      <c r="A24" s="26"/>
      <c r="B24" s="26"/>
      <c r="C24" s="26"/>
      <c r="D24" s="26"/>
      <c r="E24" s="26"/>
      <c r="F24" s="26"/>
      <c r="G24" s="26"/>
    </row>
    <row r="25" spans="1:7" ht="15" customHeight="1" x14ac:dyDescent="0.25">
      <c r="A25" s="26"/>
      <c r="B25" s="26"/>
      <c r="C25" s="26"/>
      <c r="D25" s="26"/>
      <c r="E25" s="26"/>
      <c r="F25" s="26"/>
      <c r="G25" s="26"/>
    </row>
  </sheetData>
  <mergeCells count="1">
    <mergeCell ref="A13:G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G8"/>
  <sheetViews>
    <sheetView workbookViewId="0"/>
  </sheetViews>
  <sheetFormatPr defaultRowHeight="15" x14ac:dyDescent="0.25"/>
  <cols>
    <col min="1" max="1" width="17.5703125" style="4" customWidth="1"/>
    <col min="2" max="2" width="22.5703125" style="4" customWidth="1"/>
    <col min="3" max="3" width="18.5703125" style="4" customWidth="1"/>
    <col min="4" max="4" width="20.5703125" style="4" customWidth="1"/>
    <col min="5" max="5" width="11.28515625" style="4" customWidth="1"/>
    <col min="6" max="6" width="18.5703125" style="4" customWidth="1"/>
    <col min="7" max="7" width="19.42578125" style="4" customWidth="1"/>
    <col min="8" max="9" width="9.140625" style="4" customWidth="1"/>
    <col min="10" max="16384" width="9.140625" style="4"/>
  </cols>
  <sheetData>
    <row r="1" spans="1:7" ht="15" customHeight="1" x14ac:dyDescent="0.25">
      <c r="A1" s="5" t="s">
        <v>145</v>
      </c>
      <c r="B1" s="5" t="s">
        <v>146</v>
      </c>
      <c r="C1" s="5" t="s">
        <v>147</v>
      </c>
      <c r="D1" s="5" t="s">
        <v>148</v>
      </c>
      <c r="E1" s="5" t="s">
        <v>149</v>
      </c>
      <c r="F1" s="5" t="s">
        <v>150</v>
      </c>
      <c r="G1" s="5" t="s">
        <v>151</v>
      </c>
    </row>
    <row r="2" spans="1:7" ht="15" customHeight="1" x14ac:dyDescent="0.25">
      <c r="A2" s="3" t="s">
        <v>79</v>
      </c>
      <c r="B2" s="3" t="s">
        <v>80</v>
      </c>
      <c r="C2" s="3" t="s">
        <v>152</v>
      </c>
      <c r="D2" s="3" t="s">
        <v>14</v>
      </c>
      <c r="E2" s="3" t="s">
        <v>153</v>
      </c>
      <c r="F2" s="3" t="s">
        <v>108</v>
      </c>
      <c r="G2" s="3" t="s">
        <v>108</v>
      </c>
    </row>
    <row r="3" spans="1:7" ht="15" customHeight="1" x14ac:dyDescent="0.25">
      <c r="A3" s="3" t="s">
        <v>99</v>
      </c>
      <c r="B3" s="3" t="s">
        <v>154</v>
      </c>
      <c r="C3" s="3" t="s">
        <v>98</v>
      </c>
      <c r="D3" s="3" t="s">
        <v>14</v>
      </c>
      <c r="E3" s="3" t="s">
        <v>153</v>
      </c>
      <c r="F3" s="3" t="s">
        <v>153</v>
      </c>
      <c r="G3" s="3" t="s">
        <v>108</v>
      </c>
    </row>
    <row r="4" spans="1:7" ht="15" customHeight="1" x14ac:dyDescent="0.25">
      <c r="A4" s="3" t="s">
        <v>83</v>
      </c>
      <c r="B4" s="3" t="s">
        <v>84</v>
      </c>
      <c r="C4" s="3" t="s">
        <v>98</v>
      </c>
      <c r="D4" s="3" t="s">
        <v>14</v>
      </c>
      <c r="E4" s="3" t="s">
        <v>153</v>
      </c>
      <c r="F4" s="3" t="s">
        <v>153</v>
      </c>
      <c r="G4" s="3" t="s">
        <v>108</v>
      </c>
    </row>
    <row r="5" spans="1:7" ht="15" customHeight="1" x14ac:dyDescent="0.25">
      <c r="A5" s="3" t="s">
        <v>90</v>
      </c>
      <c r="B5" s="3" t="s">
        <v>155</v>
      </c>
      <c r="C5" s="3" t="s">
        <v>156</v>
      </c>
      <c r="D5" s="3" t="s">
        <v>14</v>
      </c>
      <c r="E5" s="3" t="s">
        <v>108</v>
      </c>
      <c r="F5" s="3" t="s">
        <v>153</v>
      </c>
      <c r="G5" s="3" t="s">
        <v>108</v>
      </c>
    </row>
    <row r="6" spans="1:7" s="12" customFormat="1" ht="15" customHeight="1" x14ac:dyDescent="0.25">
      <c r="A6" s="11" t="s">
        <v>157</v>
      </c>
      <c r="B6" s="11" t="s">
        <v>158</v>
      </c>
      <c r="C6" s="11" t="s">
        <v>159</v>
      </c>
      <c r="D6" s="11" t="s">
        <v>14</v>
      </c>
      <c r="E6" s="11" t="s">
        <v>108</v>
      </c>
      <c r="F6" s="11" t="s">
        <v>153</v>
      </c>
      <c r="G6" s="11" t="s">
        <v>108</v>
      </c>
    </row>
    <row r="7" spans="1:7" ht="15" customHeight="1" x14ac:dyDescent="0.25">
      <c r="A7" s="3" t="s">
        <v>160</v>
      </c>
      <c r="B7" s="3" t="s">
        <v>161</v>
      </c>
      <c r="C7" s="3" t="s">
        <v>159</v>
      </c>
      <c r="D7" s="3" t="s">
        <v>14</v>
      </c>
      <c r="E7" s="3" t="s">
        <v>108</v>
      </c>
      <c r="F7" s="3" t="s">
        <v>153</v>
      </c>
      <c r="G7" s="3" t="s">
        <v>108</v>
      </c>
    </row>
    <row r="8" spans="1:7" x14ac:dyDescent="0.25">
      <c r="A8" s="4" t="s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Q9"/>
  <sheetViews>
    <sheetView workbookViewId="0">
      <selection activeCell="L6" sqref="L6"/>
    </sheetView>
  </sheetViews>
  <sheetFormatPr defaultRowHeight="15" x14ac:dyDescent="0.25"/>
  <cols>
    <col min="1" max="1" width="24.7109375" style="4" customWidth="1"/>
    <col min="2" max="2" width="17.5703125" style="4" customWidth="1"/>
    <col min="3" max="3" width="12.140625" style="4" customWidth="1"/>
    <col min="4" max="4" width="17.5703125" style="4" customWidth="1"/>
    <col min="5" max="5" width="13.5703125" style="4" customWidth="1"/>
    <col min="6" max="6" width="14.42578125" style="4" customWidth="1"/>
    <col min="7" max="7" width="16.5703125" style="4" customWidth="1"/>
    <col min="8" max="8" width="18.7109375" style="4" customWidth="1"/>
    <col min="9" max="9" width="13.140625" style="4" customWidth="1"/>
    <col min="10" max="10" width="10.28515625" style="4" customWidth="1"/>
    <col min="11" max="11" width="11.28515625" style="4" customWidth="1"/>
    <col min="12" max="12" width="22" style="4" customWidth="1"/>
    <col min="13" max="13" width="21.28515625" style="4" customWidth="1"/>
    <col min="14" max="14" width="16.85546875" style="4" customWidth="1"/>
    <col min="15" max="15" width="14" style="4" customWidth="1"/>
    <col min="16" max="16" width="9.42578125" style="4" customWidth="1"/>
    <col min="17" max="17" width="10" style="4" customWidth="1"/>
    <col min="18" max="19" width="9.140625" style="4" customWidth="1"/>
    <col min="20" max="16384" width="9.140625" style="4"/>
  </cols>
  <sheetData>
    <row r="1" spans="1:17" ht="15" customHeight="1" x14ac:dyDescent="0.25">
      <c r="A1" s="5" t="s">
        <v>111</v>
      </c>
      <c r="B1" s="5" t="s">
        <v>145</v>
      </c>
      <c r="C1" s="5" t="s">
        <v>163</v>
      </c>
      <c r="D1" s="5" t="s">
        <v>164</v>
      </c>
      <c r="E1" s="5" t="s">
        <v>104</v>
      </c>
      <c r="F1" s="5" t="s">
        <v>105</v>
      </c>
      <c r="G1" s="5" t="s">
        <v>165</v>
      </c>
      <c r="H1" s="5" t="s">
        <v>166</v>
      </c>
      <c r="I1" s="5" t="s">
        <v>114</v>
      </c>
      <c r="J1" s="5" t="s">
        <v>115</v>
      </c>
      <c r="K1" s="5" t="s">
        <v>167</v>
      </c>
      <c r="L1" s="5" t="s">
        <v>168</v>
      </c>
      <c r="M1" s="5" t="s">
        <v>68</v>
      </c>
      <c r="N1" s="5" t="s">
        <v>119</v>
      </c>
      <c r="O1" s="5" t="s">
        <v>120</v>
      </c>
      <c r="P1" s="5" t="s">
        <v>121</v>
      </c>
      <c r="Q1" s="5" t="s">
        <v>107</v>
      </c>
    </row>
    <row r="2" spans="1:17" ht="15" customHeight="1" x14ac:dyDescent="0.25">
      <c r="A2" s="3" t="s">
        <v>169</v>
      </c>
      <c r="B2" s="3" t="s">
        <v>79</v>
      </c>
      <c r="C2" s="3" t="s">
        <v>170</v>
      </c>
      <c r="D2" s="3" t="s">
        <v>171</v>
      </c>
      <c r="E2" s="3" t="s">
        <v>19</v>
      </c>
      <c r="F2" s="3" t="s">
        <v>19</v>
      </c>
      <c r="G2" s="3" t="s">
        <v>19</v>
      </c>
      <c r="H2" s="3" t="s">
        <v>19</v>
      </c>
      <c r="I2" s="3" t="s">
        <v>172</v>
      </c>
      <c r="J2" s="11">
        <v>100</v>
      </c>
      <c r="K2" s="3" t="s">
        <v>14</v>
      </c>
      <c r="L2" s="3" t="s">
        <v>173</v>
      </c>
      <c r="M2" s="3" t="s">
        <v>81</v>
      </c>
      <c r="N2" s="6">
        <v>46023</v>
      </c>
      <c r="O2" s="3"/>
      <c r="P2" s="3">
        <v>800</v>
      </c>
      <c r="Q2" s="3" t="s">
        <v>108</v>
      </c>
    </row>
    <row r="3" spans="1:17" ht="15" customHeight="1" x14ac:dyDescent="0.25">
      <c r="A3" s="3" t="s">
        <v>174</v>
      </c>
      <c r="B3" s="3" t="s">
        <v>83</v>
      </c>
      <c r="C3" s="3" t="s">
        <v>170</v>
      </c>
      <c r="D3" s="3" t="s">
        <v>98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172</v>
      </c>
      <c r="J3" s="11">
        <v>30</v>
      </c>
      <c r="K3" s="3" t="s">
        <v>14</v>
      </c>
      <c r="L3" s="3" t="s">
        <v>175</v>
      </c>
      <c r="M3" s="3" t="s">
        <v>81</v>
      </c>
      <c r="N3" s="6">
        <v>46023</v>
      </c>
      <c r="O3" s="3"/>
      <c r="P3" s="3">
        <v>200</v>
      </c>
      <c r="Q3" s="3" t="s">
        <v>108</v>
      </c>
    </row>
    <row r="4" spans="1:17" ht="15" customHeight="1" x14ac:dyDescent="0.25">
      <c r="A4" s="3" t="s">
        <v>176</v>
      </c>
      <c r="B4" s="3" t="s">
        <v>99</v>
      </c>
      <c r="C4" s="3" t="s">
        <v>170</v>
      </c>
      <c r="D4" s="3" t="s">
        <v>98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177</v>
      </c>
      <c r="J4" s="11">
        <v>12</v>
      </c>
      <c r="K4" s="3" t="s">
        <v>177</v>
      </c>
      <c r="L4" s="3" t="s">
        <v>178</v>
      </c>
      <c r="M4" s="3" t="s">
        <v>81</v>
      </c>
      <c r="N4" s="6">
        <v>46023</v>
      </c>
      <c r="O4" s="3"/>
      <c r="P4" s="3">
        <v>100</v>
      </c>
      <c r="Q4" s="3" t="s">
        <v>108</v>
      </c>
    </row>
    <row r="5" spans="1:17" ht="15" customHeight="1" x14ac:dyDescent="0.25">
      <c r="A5" s="3" t="s">
        <v>179</v>
      </c>
      <c r="B5" s="3" t="s">
        <v>90</v>
      </c>
      <c r="C5" s="3" t="s">
        <v>170</v>
      </c>
      <c r="D5" s="3" t="s">
        <v>180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172</v>
      </c>
      <c r="J5" s="3">
        <v>50</v>
      </c>
      <c r="K5" s="3" t="s">
        <v>14</v>
      </c>
      <c r="L5" s="3" t="s">
        <v>181</v>
      </c>
      <c r="M5" s="3" t="s">
        <v>92</v>
      </c>
      <c r="N5" s="6">
        <v>46023</v>
      </c>
      <c r="O5" s="3"/>
      <c r="P5" s="3">
        <v>700</v>
      </c>
      <c r="Q5" s="3" t="s">
        <v>108</v>
      </c>
    </row>
    <row r="6" spans="1:17" ht="15" customHeight="1" x14ac:dyDescent="0.25">
      <c r="A6" s="3" t="s">
        <v>182</v>
      </c>
      <c r="B6" s="3" t="s">
        <v>90</v>
      </c>
      <c r="C6" s="3" t="s">
        <v>170</v>
      </c>
      <c r="D6" s="3" t="s">
        <v>180</v>
      </c>
      <c r="E6" s="3" t="s">
        <v>19</v>
      </c>
      <c r="F6" s="3" t="s">
        <v>19</v>
      </c>
      <c r="G6" s="3" t="s">
        <v>19</v>
      </c>
      <c r="H6" s="3" t="s">
        <v>19</v>
      </c>
      <c r="I6" s="3" t="s">
        <v>172</v>
      </c>
      <c r="J6" s="3">
        <v>120</v>
      </c>
      <c r="K6" s="3" t="s">
        <v>14</v>
      </c>
      <c r="L6" s="3" t="s">
        <v>50</v>
      </c>
      <c r="M6" s="3" t="s">
        <v>92</v>
      </c>
      <c r="N6" s="6">
        <v>46023</v>
      </c>
      <c r="O6" s="3"/>
      <c r="P6" s="3">
        <v>710</v>
      </c>
      <c r="Q6" s="3" t="s">
        <v>108</v>
      </c>
    </row>
    <row r="7" spans="1:17" ht="15" customHeight="1" x14ac:dyDescent="0.25">
      <c r="A7" s="3" t="s">
        <v>183</v>
      </c>
      <c r="B7" s="3" t="s">
        <v>157</v>
      </c>
      <c r="C7" s="3" t="s">
        <v>184</v>
      </c>
      <c r="D7" s="3" t="s">
        <v>159</v>
      </c>
      <c r="E7" s="3" t="s">
        <v>19</v>
      </c>
      <c r="F7" s="3" t="s">
        <v>19</v>
      </c>
      <c r="G7" s="3" t="s">
        <v>19</v>
      </c>
      <c r="H7" s="3" t="s">
        <v>19</v>
      </c>
      <c r="I7" s="3" t="s">
        <v>177</v>
      </c>
      <c r="J7" s="3">
        <v>10</v>
      </c>
      <c r="K7" s="3" t="s">
        <v>177</v>
      </c>
      <c r="L7" s="3" t="s">
        <v>185</v>
      </c>
      <c r="M7" s="3" t="s">
        <v>92</v>
      </c>
      <c r="N7" s="6">
        <v>46023</v>
      </c>
      <c r="O7" s="3"/>
      <c r="P7" s="3">
        <v>900</v>
      </c>
      <c r="Q7" s="3" t="s">
        <v>108</v>
      </c>
    </row>
    <row r="8" spans="1:17" ht="15" customHeight="1" x14ac:dyDescent="0.25">
      <c r="A8" s="3" t="s">
        <v>186</v>
      </c>
      <c r="B8" s="3" t="s">
        <v>160</v>
      </c>
      <c r="C8" s="3" t="s">
        <v>187</v>
      </c>
      <c r="D8" s="3" t="s">
        <v>159</v>
      </c>
      <c r="E8" s="3" t="s">
        <v>19</v>
      </c>
      <c r="F8" s="3" t="s">
        <v>19</v>
      </c>
      <c r="G8" s="3" t="s">
        <v>19</v>
      </c>
      <c r="H8" s="3" t="s">
        <v>19</v>
      </c>
      <c r="I8" s="3" t="s">
        <v>172</v>
      </c>
      <c r="J8" s="3">
        <v>200</v>
      </c>
      <c r="K8" s="3" t="s">
        <v>14</v>
      </c>
      <c r="L8" s="3" t="s">
        <v>173</v>
      </c>
      <c r="M8" s="3" t="s">
        <v>92</v>
      </c>
      <c r="N8" s="6">
        <v>46023</v>
      </c>
      <c r="O8" s="3"/>
      <c r="P8" s="3">
        <v>900</v>
      </c>
      <c r="Q8" s="3" t="s">
        <v>108</v>
      </c>
    </row>
    <row r="9" spans="1:17" x14ac:dyDescent="0.25">
      <c r="H9" s="4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J10"/>
  <sheetViews>
    <sheetView workbookViewId="0">
      <selection activeCell="J2" sqref="A1:J2"/>
    </sheetView>
  </sheetViews>
  <sheetFormatPr defaultColWidth="16" defaultRowHeight="15" x14ac:dyDescent="0.25"/>
  <cols>
    <col min="1" max="1" width="40" style="4" customWidth="1"/>
    <col min="2" max="2" width="24" style="4" customWidth="1"/>
    <col min="3" max="3" width="27.5703125" style="4" customWidth="1"/>
    <col min="4" max="4" width="12" style="4" customWidth="1"/>
    <col min="5" max="5" width="24.85546875" style="4" customWidth="1"/>
    <col min="6" max="6" width="21" style="4" customWidth="1"/>
    <col min="7" max="7" width="15.140625" style="4" customWidth="1"/>
    <col min="8" max="8" width="21" style="4" customWidth="1"/>
    <col min="9" max="9" width="12" style="4" customWidth="1"/>
    <col min="10" max="10" width="26" style="4" customWidth="1"/>
    <col min="11" max="16384" width="16" style="4"/>
  </cols>
  <sheetData>
    <row r="1" spans="1:10" ht="15" customHeight="1" x14ac:dyDescent="0.25">
      <c r="A1" s="5" t="s">
        <v>189</v>
      </c>
      <c r="B1" s="5" t="s">
        <v>190</v>
      </c>
      <c r="C1" s="5" t="s">
        <v>191</v>
      </c>
      <c r="D1" s="5" t="s">
        <v>104</v>
      </c>
      <c r="E1" s="5" t="s">
        <v>200</v>
      </c>
      <c r="F1" s="5" t="s">
        <v>119</v>
      </c>
      <c r="G1" s="5" t="s">
        <v>120</v>
      </c>
      <c r="H1" s="5" t="s">
        <v>192</v>
      </c>
      <c r="I1" s="5" t="s">
        <v>193</v>
      </c>
      <c r="J1" s="5" t="s">
        <v>69</v>
      </c>
    </row>
    <row r="2" spans="1:10" ht="15" customHeight="1" x14ac:dyDescent="0.25">
      <c r="A2" s="3" t="s">
        <v>6</v>
      </c>
      <c r="B2" s="3" t="s">
        <v>195</v>
      </c>
      <c r="C2" s="3" t="s">
        <v>196</v>
      </c>
      <c r="D2" s="4" t="s">
        <v>10</v>
      </c>
      <c r="E2" s="15" t="s">
        <v>8</v>
      </c>
      <c r="F2" s="13">
        <v>46023</v>
      </c>
      <c r="G2" s="13"/>
      <c r="H2" s="13">
        <v>46023.416666666657</v>
      </c>
      <c r="I2" s="3" t="s">
        <v>197</v>
      </c>
      <c r="J2" s="3" t="s">
        <v>198</v>
      </c>
    </row>
    <row r="4" spans="1:10" ht="15" customHeight="1" x14ac:dyDescent="0.25">
      <c r="A4" s="29" t="s">
        <v>199</v>
      </c>
      <c r="B4" s="30"/>
      <c r="C4" s="30"/>
      <c r="D4" s="30"/>
      <c r="E4" s="30"/>
      <c r="F4" s="30"/>
      <c r="G4" s="30"/>
      <c r="H4" s="30"/>
      <c r="I4" s="30"/>
      <c r="J4" s="30"/>
    </row>
    <row r="5" spans="1:10" ht="15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</row>
    <row r="6" spans="1:10" ht="1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</row>
    <row r="7" spans="1:10" ht="15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</row>
    <row r="8" spans="1:10" ht="15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5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5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</row>
  </sheetData>
  <mergeCells count="1">
    <mergeCell ref="A4:J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G9"/>
  <sheetViews>
    <sheetView workbookViewId="0">
      <selection activeCell="E2" sqref="C2:E5"/>
    </sheetView>
  </sheetViews>
  <sheetFormatPr defaultRowHeight="15" x14ac:dyDescent="0.25"/>
  <cols>
    <col min="1" max="1" width="21" customWidth="1"/>
    <col min="2" max="2" width="24" customWidth="1"/>
    <col min="3" max="3" width="14.42578125" customWidth="1"/>
    <col min="4" max="4" width="11.42578125" customWidth="1"/>
    <col min="5" max="5" width="15" customWidth="1"/>
    <col min="6" max="6" width="15.42578125" customWidth="1"/>
    <col min="7" max="7" width="18.140625" customWidth="1"/>
  </cols>
  <sheetData>
    <row r="1" spans="1:7" ht="15" customHeight="1" x14ac:dyDescent="0.25">
      <c r="A1" s="7" t="s">
        <v>189</v>
      </c>
      <c r="B1" s="7" t="s">
        <v>22</v>
      </c>
      <c r="C1" s="7" t="s">
        <v>105</v>
      </c>
      <c r="D1" s="7" t="s">
        <v>106</v>
      </c>
      <c r="E1" s="10" t="s">
        <v>67</v>
      </c>
      <c r="F1" s="7" t="s">
        <v>213</v>
      </c>
      <c r="G1" s="7" t="s">
        <v>211</v>
      </c>
    </row>
    <row r="2" spans="1:7" ht="15" customHeight="1" x14ac:dyDescent="0.25">
      <c r="A2" s="8" t="s">
        <v>6</v>
      </c>
      <c r="B2" s="8" t="s">
        <v>32</v>
      </c>
      <c r="C2" s="8" t="s">
        <v>12</v>
      </c>
      <c r="D2" s="8" t="s">
        <v>14</v>
      </c>
      <c r="E2" s="9">
        <v>1800</v>
      </c>
      <c r="F2" s="8" t="s">
        <v>123</v>
      </c>
      <c r="G2" s="8"/>
    </row>
    <row r="3" spans="1:7" ht="15" customHeight="1" x14ac:dyDescent="0.25">
      <c r="A3" s="8" t="s">
        <v>6</v>
      </c>
      <c r="B3" s="8" t="s">
        <v>34</v>
      </c>
      <c r="C3" s="8" t="s">
        <v>12</v>
      </c>
      <c r="D3" s="8" t="s">
        <v>14</v>
      </c>
      <c r="E3" s="9">
        <v>900</v>
      </c>
      <c r="F3" s="14" t="s">
        <v>214</v>
      </c>
      <c r="G3" s="14" t="s">
        <v>125</v>
      </c>
    </row>
    <row r="4" spans="1:7" ht="15" customHeight="1" x14ac:dyDescent="0.25">
      <c r="A4" s="8" t="s">
        <v>6</v>
      </c>
      <c r="B4" s="8" t="s">
        <v>35</v>
      </c>
      <c r="C4" s="8" t="s">
        <v>12</v>
      </c>
      <c r="D4" s="8" t="s">
        <v>14</v>
      </c>
      <c r="E4" s="9">
        <v>1440</v>
      </c>
      <c r="F4" s="14" t="s">
        <v>214</v>
      </c>
      <c r="G4" s="14" t="s">
        <v>128</v>
      </c>
    </row>
    <row r="5" spans="1:7" ht="15" customHeight="1" x14ac:dyDescent="0.25">
      <c r="A5" s="8" t="s">
        <v>6</v>
      </c>
      <c r="B5" s="8" t="s">
        <v>36</v>
      </c>
      <c r="C5" s="8" t="s">
        <v>12</v>
      </c>
      <c r="D5" s="8" t="s">
        <v>14</v>
      </c>
      <c r="E5" s="9">
        <v>0</v>
      </c>
      <c r="F5" s="14" t="s">
        <v>214</v>
      </c>
      <c r="G5" s="14" t="s">
        <v>122</v>
      </c>
    </row>
    <row r="6" spans="1:7" ht="15" customHeight="1" x14ac:dyDescent="0.25">
      <c r="A6" s="8" t="s">
        <v>6</v>
      </c>
      <c r="B6" s="8" t="s">
        <v>32</v>
      </c>
      <c r="C6" s="8" t="s">
        <v>109</v>
      </c>
      <c r="D6" s="8" t="s">
        <v>14</v>
      </c>
      <c r="E6" s="9">
        <v>1600</v>
      </c>
      <c r="F6" s="8" t="s">
        <v>123</v>
      </c>
      <c r="G6" s="8"/>
    </row>
    <row r="7" spans="1:7" ht="15" customHeight="1" x14ac:dyDescent="0.25">
      <c r="A7" s="8" t="s">
        <v>6</v>
      </c>
      <c r="B7" s="8" t="s">
        <v>34</v>
      </c>
      <c r="C7" s="8" t="s">
        <v>109</v>
      </c>
      <c r="D7" s="8" t="s">
        <v>14</v>
      </c>
      <c r="E7" s="9">
        <v>800</v>
      </c>
      <c r="F7" s="14" t="s">
        <v>214</v>
      </c>
      <c r="G7" s="14" t="s">
        <v>125</v>
      </c>
    </row>
    <row r="8" spans="1:7" ht="15" customHeight="1" x14ac:dyDescent="0.25">
      <c r="A8" s="8" t="s">
        <v>6</v>
      </c>
      <c r="B8" s="8" t="s">
        <v>35</v>
      </c>
      <c r="C8" s="8" t="s">
        <v>109</v>
      </c>
      <c r="D8" s="8" t="s">
        <v>14</v>
      </c>
      <c r="E8" s="9">
        <v>1280</v>
      </c>
      <c r="F8" s="14" t="s">
        <v>214</v>
      </c>
      <c r="G8" s="14" t="s">
        <v>128</v>
      </c>
    </row>
    <row r="9" spans="1:7" ht="15" customHeight="1" x14ac:dyDescent="0.25">
      <c r="A9" s="8" t="s">
        <v>6</v>
      </c>
      <c r="B9" s="8" t="s">
        <v>36</v>
      </c>
      <c r="C9" s="8" t="s">
        <v>109</v>
      </c>
      <c r="D9" s="8" t="s">
        <v>14</v>
      </c>
      <c r="E9" s="9">
        <v>0</v>
      </c>
      <c r="F9" s="14" t="s">
        <v>214</v>
      </c>
      <c r="G9" s="14" t="s">
        <v>122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F3"/>
  <sheetViews>
    <sheetView workbookViewId="0">
      <selection activeCell="B2" sqref="B2"/>
    </sheetView>
  </sheetViews>
  <sheetFormatPr defaultRowHeight="15" x14ac:dyDescent="0.25"/>
  <cols>
    <col min="1" max="1" width="25.140625" style="4" customWidth="1"/>
    <col min="2" max="2" width="19.5703125" style="4" customWidth="1"/>
    <col min="3" max="3" width="21" style="4" customWidth="1"/>
    <col min="4" max="4" width="12.42578125" style="4" customWidth="1"/>
    <col min="5" max="5" width="11.42578125" style="4" customWidth="1"/>
    <col min="6" max="6" width="9.42578125" style="4" customWidth="1"/>
    <col min="7" max="7" width="9.140625" style="4" customWidth="1"/>
    <col min="8" max="16384" width="9.140625" style="4"/>
  </cols>
  <sheetData>
    <row r="1" spans="1:6" ht="15" customHeight="1" x14ac:dyDescent="0.25">
      <c r="A1" s="5" t="s">
        <v>189</v>
      </c>
      <c r="B1" s="5" t="s">
        <v>39</v>
      </c>
      <c r="C1" s="5" t="s">
        <v>40</v>
      </c>
      <c r="D1" s="5" t="s">
        <v>42</v>
      </c>
      <c r="E1" s="5" t="s">
        <v>106</v>
      </c>
      <c r="F1" s="5" t="s">
        <v>67</v>
      </c>
    </row>
    <row r="2" spans="1:6" ht="15" customHeight="1" x14ac:dyDescent="0.25">
      <c r="A2" s="3" t="s">
        <v>6</v>
      </c>
      <c r="B2" s="3" t="s">
        <v>48</v>
      </c>
      <c r="C2" s="3" t="s">
        <v>49</v>
      </c>
      <c r="D2" s="3" t="s">
        <v>50</v>
      </c>
      <c r="E2" s="3" t="s">
        <v>14</v>
      </c>
      <c r="F2" s="3">
        <v>1200</v>
      </c>
    </row>
    <row r="3" spans="1:6" ht="15" customHeight="1" x14ac:dyDescent="0.25">
      <c r="A3" s="3" t="s">
        <v>6</v>
      </c>
      <c r="B3" s="3" t="s">
        <v>52</v>
      </c>
      <c r="C3" s="3" t="s">
        <v>53</v>
      </c>
      <c r="D3" s="3" t="s">
        <v>54</v>
      </c>
      <c r="E3" s="3" t="s">
        <v>14</v>
      </c>
      <c r="F3" s="3">
        <v>3500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"/>
  <sheetViews>
    <sheetView topLeftCell="C1" workbookViewId="0">
      <selection sqref="A1:I2"/>
    </sheetView>
  </sheetViews>
  <sheetFormatPr defaultRowHeight="15" x14ac:dyDescent="0.25"/>
  <cols>
    <col min="1" max="1" width="40" customWidth="1"/>
    <col min="2" max="2" width="28" customWidth="1"/>
    <col min="3" max="3" width="40" customWidth="1"/>
    <col min="4" max="4" width="16" customWidth="1"/>
    <col min="5" max="6" width="14" customWidth="1"/>
    <col min="7" max="7" width="12" customWidth="1"/>
    <col min="8" max="8" width="28" customWidth="1"/>
    <col min="9" max="9" width="18" customWidth="1"/>
  </cols>
  <sheetData>
    <row r="1" spans="1:9" ht="30" x14ac:dyDescent="0.25">
      <c r="A1" s="5" t="s">
        <v>200</v>
      </c>
      <c r="B1" s="5" t="s">
        <v>201</v>
      </c>
      <c r="C1" s="5" t="s">
        <v>202</v>
      </c>
      <c r="D1" s="5" t="s">
        <v>119</v>
      </c>
      <c r="E1" s="5" t="s">
        <v>120</v>
      </c>
      <c r="F1" s="5" t="s">
        <v>192</v>
      </c>
      <c r="G1" s="5" t="s">
        <v>193</v>
      </c>
      <c r="H1" s="5" t="s">
        <v>69</v>
      </c>
      <c r="I1" s="5" t="s">
        <v>194</v>
      </c>
    </row>
    <row r="2" spans="1:9" ht="30" x14ac:dyDescent="0.25">
      <c r="A2" s="15" t="s">
        <v>8</v>
      </c>
      <c r="B2" s="15" t="s">
        <v>203</v>
      </c>
      <c r="C2" s="15" t="s">
        <v>204</v>
      </c>
      <c r="D2" s="15" t="s">
        <v>205</v>
      </c>
      <c r="E2" s="15" t="s">
        <v>206</v>
      </c>
      <c r="F2" s="15" t="s">
        <v>207</v>
      </c>
      <c r="G2" s="15" t="s">
        <v>197</v>
      </c>
      <c r="H2" s="15" t="s">
        <v>208</v>
      </c>
      <c r="I2" s="15" t="s">
        <v>209</v>
      </c>
    </row>
    <row r="4" spans="1:9" ht="15" customHeight="1" x14ac:dyDescent="0.25">
      <c r="A4" s="29" t="s">
        <v>210</v>
      </c>
      <c r="B4" s="26"/>
      <c r="C4" s="26"/>
      <c r="D4" s="26"/>
      <c r="E4" s="26"/>
      <c r="F4" s="26"/>
      <c r="G4" s="26"/>
      <c r="H4" s="26"/>
      <c r="I4" s="26"/>
    </row>
    <row r="5" spans="1:9" ht="15" customHeight="1" x14ac:dyDescent="0.25">
      <c r="A5" s="26"/>
      <c r="B5" s="26"/>
      <c r="C5" s="26"/>
      <c r="D5" s="26"/>
      <c r="E5" s="26"/>
      <c r="F5" s="26"/>
      <c r="G5" s="26"/>
      <c r="H5" s="26"/>
      <c r="I5" s="26"/>
    </row>
    <row r="6" spans="1:9" ht="15" customHeight="1" x14ac:dyDescent="0.25">
      <c r="A6" s="26"/>
      <c r="B6" s="26"/>
      <c r="C6" s="26"/>
      <c r="D6" s="26"/>
      <c r="E6" s="26"/>
      <c r="F6" s="26"/>
      <c r="G6" s="26"/>
      <c r="H6" s="26"/>
      <c r="I6" s="26"/>
    </row>
    <row r="7" spans="1:9" ht="15" customHeight="1" x14ac:dyDescent="0.25">
      <c r="A7" s="26"/>
      <c r="B7" s="26"/>
      <c r="C7" s="26"/>
      <c r="D7" s="26"/>
      <c r="E7" s="26"/>
      <c r="F7" s="26"/>
      <c r="G7" s="26"/>
      <c r="H7" s="26"/>
      <c r="I7" s="26"/>
    </row>
    <row r="8" spans="1:9" ht="15" customHeight="1" x14ac:dyDescent="0.25">
      <c r="A8" s="26"/>
      <c r="B8" s="26"/>
      <c r="C8" s="26"/>
      <c r="D8" s="26"/>
      <c r="E8" s="26"/>
      <c r="F8" s="26"/>
      <c r="G8" s="26"/>
      <c r="H8" s="26"/>
      <c r="I8" s="26"/>
    </row>
    <row r="9" spans="1:9" ht="15" customHeight="1" x14ac:dyDescent="0.25">
      <c r="A9" s="26"/>
      <c r="B9" s="26"/>
      <c r="C9" s="26"/>
      <c r="D9" s="26"/>
      <c r="E9" s="26"/>
      <c r="F9" s="26"/>
      <c r="G9" s="26"/>
      <c r="H9" s="26"/>
      <c r="I9" s="26"/>
    </row>
  </sheetData>
  <mergeCells count="1">
    <mergeCell ref="A4:I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8"/>
  <sheetViews>
    <sheetView tabSelected="1" workbookViewId="0">
      <selection activeCell="H5" sqref="H5"/>
    </sheetView>
  </sheetViews>
  <sheetFormatPr defaultRowHeight="15" x14ac:dyDescent="0.25"/>
  <cols>
    <col min="1" max="1" width="40" customWidth="1"/>
    <col min="2" max="2" width="27" customWidth="1"/>
    <col min="3" max="3" width="26.28515625" customWidth="1"/>
    <col min="4" max="4" width="19.5703125" customWidth="1"/>
    <col min="5" max="5" width="12" customWidth="1"/>
    <col min="6" max="6" width="19.140625" customWidth="1"/>
    <col min="7" max="7" width="18.28515625" customWidth="1"/>
    <col min="8" max="8" width="16.28515625" customWidth="1"/>
    <col min="9" max="9" width="22.28515625" customWidth="1"/>
    <col min="10" max="10" width="23.5703125" customWidth="1"/>
    <col min="11" max="11" width="11" customWidth="1"/>
    <col min="12" max="13" width="10" customWidth="1"/>
    <col min="14" max="14" width="18" customWidth="1"/>
    <col min="15" max="15" width="22.140625" customWidth="1"/>
    <col min="16" max="16" width="10" customWidth="1"/>
  </cols>
  <sheetData>
    <row r="1" spans="1:16" ht="30" x14ac:dyDescent="0.25">
      <c r="A1" s="5" t="s">
        <v>200</v>
      </c>
      <c r="B1" s="5" t="s">
        <v>189</v>
      </c>
      <c r="C1" s="5" t="s">
        <v>211</v>
      </c>
      <c r="D1" s="5" t="s">
        <v>145</v>
      </c>
      <c r="E1" s="5" t="s">
        <v>163</v>
      </c>
      <c r="F1" s="5" t="s">
        <v>164</v>
      </c>
      <c r="G1" s="5" t="s">
        <v>104</v>
      </c>
      <c r="H1" s="5" t="s">
        <v>105</v>
      </c>
      <c r="I1" s="5" t="s">
        <v>165</v>
      </c>
      <c r="J1" s="5" t="s">
        <v>166</v>
      </c>
      <c r="K1" s="5" t="s">
        <v>114</v>
      </c>
      <c r="L1" s="5" t="s">
        <v>115</v>
      </c>
      <c r="M1" s="5" t="s">
        <v>167</v>
      </c>
      <c r="N1" s="5" t="s">
        <v>168</v>
      </c>
      <c r="O1" s="5" t="s">
        <v>68</v>
      </c>
      <c r="P1" s="5" t="s">
        <v>121</v>
      </c>
    </row>
    <row r="2" spans="1:16" ht="30" x14ac:dyDescent="0.25">
      <c r="A2" s="3" t="s">
        <v>8</v>
      </c>
      <c r="B2" s="3" t="s">
        <v>6</v>
      </c>
      <c r="C2" s="3" t="s">
        <v>169</v>
      </c>
      <c r="D2" s="3" t="s">
        <v>79</v>
      </c>
      <c r="E2" s="3" t="s">
        <v>170</v>
      </c>
      <c r="F2" s="3" t="s">
        <v>171</v>
      </c>
      <c r="G2" s="3" t="s">
        <v>19</v>
      </c>
      <c r="H2" s="3" t="s">
        <v>19</v>
      </c>
      <c r="I2" s="3" t="s">
        <v>19</v>
      </c>
      <c r="J2" s="3" t="s">
        <v>19</v>
      </c>
      <c r="K2" s="3" t="s">
        <v>172</v>
      </c>
      <c r="L2" s="11">
        <v>100</v>
      </c>
      <c r="M2" s="3" t="s">
        <v>14</v>
      </c>
      <c r="N2" s="3" t="s">
        <v>173</v>
      </c>
      <c r="O2" s="3" t="s">
        <v>81</v>
      </c>
      <c r="P2" s="3">
        <v>800</v>
      </c>
    </row>
    <row r="3" spans="1:16" ht="30" x14ac:dyDescent="0.25">
      <c r="A3" s="3" t="s">
        <v>8</v>
      </c>
      <c r="B3" s="3" t="s">
        <v>6</v>
      </c>
      <c r="C3" s="3" t="s">
        <v>174</v>
      </c>
      <c r="D3" s="3" t="s">
        <v>83</v>
      </c>
      <c r="E3" s="3" t="s">
        <v>170</v>
      </c>
      <c r="F3" s="3" t="s">
        <v>98</v>
      </c>
      <c r="G3" s="3" t="s">
        <v>19</v>
      </c>
      <c r="H3" s="3" t="s">
        <v>19</v>
      </c>
      <c r="I3" s="3" t="s">
        <v>19</v>
      </c>
      <c r="J3" s="3" t="s">
        <v>19</v>
      </c>
      <c r="K3" s="3" t="s">
        <v>172</v>
      </c>
      <c r="L3" s="11">
        <v>30</v>
      </c>
      <c r="M3" s="3" t="s">
        <v>14</v>
      </c>
      <c r="N3" s="3" t="s">
        <v>175</v>
      </c>
      <c r="O3" s="3" t="s">
        <v>81</v>
      </c>
      <c r="P3" s="3">
        <v>200</v>
      </c>
    </row>
    <row r="4" spans="1:16" ht="30" x14ac:dyDescent="0.25">
      <c r="A4" s="3" t="s">
        <v>8</v>
      </c>
      <c r="B4" s="3" t="s">
        <v>6</v>
      </c>
      <c r="C4" s="3" t="s">
        <v>176</v>
      </c>
      <c r="D4" s="3" t="s">
        <v>99</v>
      </c>
      <c r="E4" s="3" t="s">
        <v>170</v>
      </c>
      <c r="F4" s="3" t="s">
        <v>98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177</v>
      </c>
      <c r="L4" s="11">
        <v>12</v>
      </c>
      <c r="M4" s="3" t="s">
        <v>177</v>
      </c>
      <c r="N4" s="3" t="s">
        <v>178</v>
      </c>
      <c r="O4" s="3" t="s">
        <v>81</v>
      </c>
      <c r="P4" s="3">
        <v>100</v>
      </c>
    </row>
    <row r="5" spans="1:1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11"/>
      <c r="M5" s="3"/>
      <c r="N5" s="3"/>
      <c r="O5" s="3"/>
      <c r="P5" s="3"/>
    </row>
    <row r="6" spans="1:1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11"/>
      <c r="M6" s="3"/>
      <c r="N6" s="3"/>
      <c r="O6" s="3"/>
      <c r="P6" s="3"/>
    </row>
    <row r="7" spans="1:1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11"/>
      <c r="M7" s="3"/>
      <c r="N7" s="3"/>
      <c r="O7" s="3"/>
      <c r="P7" s="3"/>
    </row>
    <row r="8" spans="1:1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11"/>
      <c r="M8" s="3"/>
      <c r="N8" s="3"/>
      <c r="O8" s="3"/>
      <c r="P8" s="3"/>
    </row>
    <row r="9" spans="1:1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1"/>
      <c r="M9" s="3"/>
      <c r="N9" s="3"/>
      <c r="O9" s="3"/>
      <c r="P9" s="3"/>
    </row>
    <row r="10" spans="1:16" ht="15" customHeight="1" x14ac:dyDescent="0.25">
      <c r="A10" s="31" t="s">
        <v>212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ht="15" customHeight="1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 ht="15" customHeight="1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 ht="15" customHeigh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6" ht="1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6" ht="1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16" spans="1:16" ht="1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 spans="1:16" x14ac:dyDescent="0.25">
      <c r="A17" t="s">
        <v>8</v>
      </c>
      <c r="B17" t="s">
        <v>6</v>
      </c>
      <c r="C17" t="s">
        <v>179</v>
      </c>
      <c r="D17" t="s">
        <v>90</v>
      </c>
      <c r="E17" t="s">
        <v>170</v>
      </c>
      <c r="F17" t="s">
        <v>180</v>
      </c>
      <c r="G17" t="s">
        <v>19</v>
      </c>
      <c r="H17" t="s">
        <v>19</v>
      </c>
      <c r="I17" t="s">
        <v>19</v>
      </c>
      <c r="J17" t="s">
        <v>19</v>
      </c>
      <c r="K17" t="s">
        <v>172</v>
      </c>
      <c r="L17">
        <v>50</v>
      </c>
      <c r="M17" t="s">
        <v>14</v>
      </c>
      <c r="N17" t="s">
        <v>181</v>
      </c>
      <c r="O17" t="s">
        <v>92</v>
      </c>
      <c r="P17">
        <v>700</v>
      </c>
    </row>
    <row r="18" spans="1:16" x14ac:dyDescent="0.25">
      <c r="A18" t="s">
        <v>8</v>
      </c>
      <c r="B18" t="s">
        <v>6</v>
      </c>
      <c r="C18" t="s">
        <v>182</v>
      </c>
      <c r="D18" t="s">
        <v>90</v>
      </c>
      <c r="E18" t="s">
        <v>170</v>
      </c>
      <c r="F18" t="s">
        <v>180</v>
      </c>
      <c r="G18" t="s">
        <v>19</v>
      </c>
      <c r="H18" t="s">
        <v>19</v>
      </c>
      <c r="I18" t="s">
        <v>19</v>
      </c>
      <c r="J18" t="s">
        <v>19</v>
      </c>
      <c r="K18" t="s">
        <v>172</v>
      </c>
      <c r="L18">
        <v>120</v>
      </c>
      <c r="M18" t="s">
        <v>14</v>
      </c>
      <c r="N18" t="s">
        <v>50</v>
      </c>
      <c r="O18" t="s">
        <v>92</v>
      </c>
      <c r="P18">
        <v>710</v>
      </c>
    </row>
  </sheetData>
  <mergeCells count="1">
    <mergeCell ref="A10:P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Booking_Preview</vt:lpstr>
      <vt:lpstr>Booking_LineItems</vt:lpstr>
      <vt:lpstr>BaseRates_Passenger</vt:lpstr>
      <vt:lpstr>PassengerFareRules</vt:lpstr>
      <vt:lpstr>BaseRates_Cargo</vt:lpstr>
      <vt:lpstr>OverrideRates_PromoPassenger</vt:lpstr>
      <vt:lpstr>OverrideRates_PromoCargo</vt:lpstr>
      <vt:lpstr>ChargeCatalog</vt:lpstr>
      <vt:lpstr>ChargeRules</vt:lpstr>
      <vt:lpstr>Rate Snapshot</vt:lpstr>
      <vt:lpstr>RateSnapshotPassenger</vt:lpstr>
      <vt:lpstr>RateSnapshotCargo</vt:lpstr>
      <vt:lpstr>Charge Snapshot</vt:lpstr>
      <vt:lpstr>ChargeSnapshotLines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Arnel Arellano</cp:lastModifiedBy>
  <dcterms:created xsi:type="dcterms:W3CDTF">2026-01-12T16:50:44Z</dcterms:created>
  <dcterms:modified xsi:type="dcterms:W3CDTF">2026-01-13T11:26:39Z</dcterms:modified>
</cp:coreProperties>
</file>