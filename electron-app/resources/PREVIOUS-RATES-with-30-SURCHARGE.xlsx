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isejadebenavente/Downloads/"/>
    </mc:Choice>
  </mc:AlternateContent>
  <xr:revisionPtr revIDLastSave="0" documentId="13_ncr:1_{A1CBF786-A461-5643-BEE0-8663C58A2E64}" xr6:coauthVersionLast="47" xr6:coauthVersionMax="47" xr10:uidLastSave="{00000000-0000-0000-0000-000000000000}"/>
  <bookViews>
    <workbookView xWindow="0" yWindow="600" windowWidth="38400" windowHeight="19380" xr2:uid="{00000000-000D-0000-FFFF-FFFF00000000}"/>
  </bookViews>
  <sheets>
    <sheet name="KAWIT-SANTAFE" sheetId="1" r:id="rId1"/>
    <sheet name="BOGO-PALOMPON" sheetId="2" r:id="rId2"/>
    <sheet name="DANAO-ISABEL" sheetId="3" r:id="rId3"/>
    <sheet name="TABUELAN-ESCALAN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3" l="1"/>
  <c r="G23" i="3"/>
  <c r="G25" i="3"/>
  <c r="G27" i="3"/>
  <c r="H27" i="3" s="1"/>
  <c r="G29" i="3"/>
  <c r="H29" i="3" s="1"/>
  <c r="G35" i="3"/>
  <c r="G36" i="3"/>
  <c r="G37" i="3"/>
  <c r="G38" i="3"/>
  <c r="G39" i="3"/>
  <c r="H39" i="3" s="1"/>
  <c r="G40" i="3"/>
  <c r="H40" i="3" s="1"/>
  <c r="G41" i="3"/>
  <c r="H41" i="3" s="1"/>
  <c r="G42" i="3"/>
  <c r="G43" i="3"/>
  <c r="G44" i="3"/>
  <c r="G46" i="3"/>
  <c r="G47" i="3"/>
  <c r="G48" i="3"/>
  <c r="G50" i="3"/>
  <c r="G51" i="3"/>
  <c r="H51" i="3" s="1"/>
  <c r="G52" i="3"/>
  <c r="G53" i="3"/>
  <c r="G54" i="3"/>
  <c r="G55" i="3"/>
  <c r="G56" i="3"/>
  <c r="G57" i="3"/>
  <c r="G58" i="3"/>
  <c r="G59" i="3"/>
  <c r="G60" i="3"/>
  <c r="G61" i="3"/>
  <c r="H61" i="3" s="1"/>
  <c r="G62" i="3"/>
  <c r="G63" i="3"/>
  <c r="G64" i="3"/>
  <c r="G65" i="3"/>
  <c r="G66" i="3"/>
  <c r="G67" i="3"/>
  <c r="G68" i="3"/>
  <c r="G69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9" i="3"/>
  <c r="H109" i="3" s="1"/>
  <c r="G110" i="3"/>
  <c r="H110" i="3" s="1"/>
  <c r="G111" i="3"/>
  <c r="H111" i="3" s="1"/>
  <c r="G112" i="3"/>
  <c r="G113" i="3"/>
  <c r="G114" i="3"/>
  <c r="G115" i="3"/>
  <c r="G116" i="3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G123" i="3"/>
  <c r="G124" i="3"/>
  <c r="G125" i="3"/>
  <c r="G126" i="3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G133" i="3"/>
  <c r="G134" i="3"/>
  <c r="G135" i="3"/>
  <c r="G136" i="3"/>
  <c r="G137" i="3"/>
  <c r="H137" i="3" s="1"/>
  <c r="G138" i="3"/>
  <c r="H138" i="3" s="1"/>
  <c r="G139" i="3"/>
  <c r="H139" i="3" s="1"/>
  <c r="G140" i="3"/>
  <c r="H140" i="3" s="1"/>
  <c r="G141" i="3"/>
  <c r="H141" i="3" s="1"/>
  <c r="G14" i="3"/>
  <c r="G15" i="3"/>
  <c r="G16" i="3"/>
  <c r="G18" i="3"/>
  <c r="G19" i="3"/>
  <c r="G20" i="3"/>
  <c r="H20" i="3" s="1"/>
  <c r="G21" i="3"/>
  <c r="H21" i="3" s="1"/>
  <c r="G13" i="3"/>
  <c r="H13" i="2"/>
  <c r="G14" i="2"/>
  <c r="G15" i="2"/>
  <c r="G16" i="2"/>
  <c r="G18" i="2"/>
  <c r="G19" i="2"/>
  <c r="G20" i="2"/>
  <c r="G21" i="2"/>
  <c r="G24" i="2"/>
  <c r="G25" i="2"/>
  <c r="G26" i="2"/>
  <c r="G31" i="2"/>
  <c r="H31" i="2" s="1"/>
  <c r="G32" i="2"/>
  <c r="H32" i="2" s="1"/>
  <c r="G33" i="2"/>
  <c r="H33" i="2" s="1"/>
  <c r="G34" i="2"/>
  <c r="G35" i="2"/>
  <c r="G36" i="2"/>
  <c r="G37" i="2"/>
  <c r="G38" i="2"/>
  <c r="G40" i="2"/>
  <c r="H40" i="2" s="1"/>
  <c r="G41" i="2"/>
  <c r="H41" i="2" s="1"/>
  <c r="G43" i="2"/>
  <c r="H43" i="2" s="1"/>
  <c r="G44" i="2"/>
  <c r="G45" i="2"/>
  <c r="G46" i="2"/>
  <c r="G47" i="2"/>
  <c r="G48" i="2"/>
  <c r="G49" i="2"/>
  <c r="G50" i="2"/>
  <c r="G51" i="2"/>
  <c r="H51" i="2" s="1"/>
  <c r="G52" i="2"/>
  <c r="H52" i="2" s="1"/>
  <c r="G53" i="2"/>
  <c r="H53" i="2" s="1"/>
  <c r="G54" i="2"/>
  <c r="G56" i="2"/>
  <c r="G57" i="2"/>
  <c r="G58" i="2"/>
  <c r="G59" i="2"/>
  <c r="G60" i="2"/>
  <c r="G61" i="2"/>
  <c r="G62" i="2"/>
  <c r="H62" i="2" s="1"/>
  <c r="G63" i="2"/>
  <c r="H63" i="2" s="1"/>
  <c r="G64" i="2"/>
  <c r="G65" i="2"/>
  <c r="G66" i="2"/>
  <c r="G67" i="2"/>
  <c r="G68" i="2"/>
  <c r="G69" i="2"/>
  <c r="G70" i="2"/>
  <c r="G71" i="2"/>
  <c r="G72" i="2"/>
  <c r="H72" i="2" s="1"/>
  <c r="G73" i="2"/>
  <c r="H73" i="2" s="1"/>
  <c r="G74" i="2"/>
  <c r="G75" i="2"/>
  <c r="G76" i="2"/>
  <c r="G77" i="2"/>
  <c r="G78" i="2"/>
  <c r="G79" i="2"/>
  <c r="G80" i="2"/>
  <c r="G81" i="2"/>
  <c r="G82" i="2"/>
  <c r="H82" i="2" s="1"/>
  <c r="G83" i="2"/>
  <c r="H83" i="2" s="1"/>
  <c r="G84" i="2"/>
  <c r="G85" i="2"/>
  <c r="G86" i="2"/>
  <c r="G87" i="2"/>
  <c r="G88" i="2"/>
  <c r="G89" i="2"/>
  <c r="G90" i="2"/>
  <c r="G91" i="2"/>
  <c r="G92" i="2"/>
  <c r="H92" i="2" s="1"/>
  <c r="G93" i="2"/>
  <c r="H93" i="2" s="1"/>
  <c r="G94" i="2"/>
  <c r="G95" i="2"/>
  <c r="G96" i="2"/>
  <c r="G97" i="2"/>
  <c r="G98" i="2"/>
  <c r="G99" i="2"/>
  <c r="G100" i="2"/>
  <c r="G101" i="2"/>
  <c r="G102" i="2"/>
  <c r="H102" i="2" s="1"/>
  <c r="G103" i="2"/>
  <c r="H103" i="2" s="1"/>
  <c r="G13" i="2"/>
  <c r="E11" i="1"/>
  <c r="E12" i="1"/>
  <c r="E13" i="1"/>
  <c r="E16" i="1"/>
  <c r="E17" i="1"/>
  <c r="E18" i="1"/>
  <c r="E19" i="1"/>
  <c r="E23" i="1"/>
  <c r="E24" i="1"/>
  <c r="E25" i="1"/>
  <c r="E30" i="1"/>
  <c r="F30" i="1" s="1"/>
  <c r="E31" i="1"/>
  <c r="E32" i="1"/>
  <c r="E33" i="1"/>
  <c r="E34" i="1"/>
  <c r="E35" i="1"/>
  <c r="E36" i="1"/>
  <c r="E37" i="1"/>
  <c r="F37" i="1" s="1"/>
  <c r="E38" i="1"/>
  <c r="F38" i="1" s="1"/>
  <c r="E39" i="1"/>
  <c r="F39" i="1" s="1"/>
  <c r="E40" i="1"/>
  <c r="F40" i="1" s="1"/>
  <c r="E41" i="1"/>
  <c r="E42" i="1"/>
  <c r="E43" i="1"/>
  <c r="E44" i="1"/>
  <c r="E45" i="1"/>
  <c r="E46" i="1"/>
  <c r="E47" i="1"/>
  <c r="F47" i="1" s="1"/>
  <c r="E48" i="1"/>
  <c r="F48" i="1" s="1"/>
  <c r="E49" i="1"/>
  <c r="F49" i="1" s="1"/>
  <c r="E50" i="1"/>
  <c r="F50" i="1" s="1"/>
  <c r="E51" i="1"/>
  <c r="E52" i="1"/>
  <c r="E53" i="1"/>
  <c r="E54" i="1"/>
  <c r="E55" i="1"/>
  <c r="E56" i="1"/>
  <c r="E57" i="1"/>
  <c r="F57" i="1" s="1"/>
  <c r="E58" i="1"/>
  <c r="F58" i="1" s="1"/>
  <c r="E59" i="1"/>
  <c r="F59" i="1" s="1"/>
  <c r="E60" i="1"/>
  <c r="F60" i="1" s="1"/>
  <c r="E61" i="1"/>
  <c r="E62" i="1"/>
  <c r="E63" i="1"/>
  <c r="E64" i="1"/>
  <c r="E65" i="1"/>
  <c r="E66" i="1"/>
  <c r="E67" i="1"/>
  <c r="F67" i="1" s="1"/>
  <c r="E68" i="1"/>
  <c r="F68" i="1" s="1"/>
  <c r="E69" i="1"/>
  <c r="F69" i="1" s="1"/>
  <c r="E70" i="1"/>
  <c r="F70" i="1" s="1"/>
  <c r="E10" i="1"/>
  <c r="F24" i="4"/>
  <c r="F31" i="4"/>
  <c r="G31" i="4" s="1"/>
  <c r="F32" i="4"/>
  <c r="F33" i="4"/>
  <c r="F34" i="4"/>
  <c r="F35" i="4"/>
  <c r="F36" i="4"/>
  <c r="F37" i="4"/>
  <c r="F38" i="4"/>
  <c r="F40" i="4"/>
  <c r="F41" i="4"/>
  <c r="G41" i="4" s="1"/>
  <c r="F42" i="4"/>
  <c r="F44" i="4"/>
  <c r="F45" i="4"/>
  <c r="F46" i="4"/>
  <c r="F47" i="4"/>
  <c r="F48" i="4"/>
  <c r="F49" i="4"/>
  <c r="F50" i="4"/>
  <c r="F51" i="4"/>
  <c r="F52" i="4"/>
  <c r="F53" i="4"/>
  <c r="G53" i="4" s="1"/>
  <c r="F54" i="4"/>
  <c r="F55" i="4"/>
  <c r="F56" i="4"/>
  <c r="F57" i="4"/>
  <c r="F58" i="4"/>
  <c r="F59" i="4"/>
  <c r="F60" i="4"/>
  <c r="F61" i="4"/>
  <c r="F62" i="4"/>
  <c r="F63" i="4"/>
  <c r="G63" i="4" s="1"/>
  <c r="F65" i="4"/>
  <c r="F66" i="4"/>
  <c r="F67" i="4"/>
  <c r="F68" i="4"/>
  <c r="F69" i="4"/>
  <c r="F70" i="4"/>
  <c r="F71" i="4"/>
  <c r="F72" i="4"/>
  <c r="F73" i="4"/>
  <c r="G73" i="4" s="1"/>
  <c r="F74" i="4"/>
  <c r="G74" i="4" s="1"/>
  <c r="F75" i="4"/>
  <c r="F76" i="4"/>
  <c r="F77" i="4"/>
  <c r="F78" i="4"/>
  <c r="F79" i="4"/>
  <c r="F80" i="4"/>
  <c r="F81" i="4"/>
  <c r="F82" i="4"/>
  <c r="F83" i="4"/>
  <c r="G83" i="4" s="1"/>
  <c r="F84" i="4"/>
  <c r="G84" i="4" s="1"/>
  <c r="F85" i="4"/>
  <c r="F86" i="4"/>
  <c r="F87" i="4"/>
  <c r="F88" i="4"/>
  <c r="F89" i="4"/>
  <c r="F90" i="4"/>
  <c r="F91" i="4"/>
  <c r="F92" i="4"/>
  <c r="F93" i="4"/>
  <c r="G93" i="4" s="1"/>
  <c r="F94" i="4"/>
  <c r="G94" i="4" s="1"/>
  <c r="F95" i="4"/>
  <c r="F96" i="4"/>
  <c r="F97" i="4"/>
  <c r="F98" i="4"/>
  <c r="F99" i="4"/>
  <c r="F100" i="4"/>
  <c r="F101" i="4"/>
  <c r="F103" i="4"/>
  <c r="F104" i="4"/>
  <c r="G104" i="4" s="1"/>
  <c r="F105" i="4"/>
  <c r="F106" i="4"/>
  <c r="F107" i="4"/>
  <c r="F108" i="4"/>
  <c r="F109" i="4"/>
  <c r="F110" i="4"/>
  <c r="F111" i="4"/>
  <c r="F112" i="4"/>
  <c r="F113" i="4"/>
  <c r="F114" i="4"/>
  <c r="G114" i="4" s="1"/>
  <c r="F115" i="4"/>
  <c r="F116" i="4"/>
  <c r="F117" i="4"/>
  <c r="F118" i="4"/>
  <c r="F119" i="4"/>
  <c r="F120" i="4"/>
  <c r="F121" i="4"/>
  <c r="F122" i="4"/>
  <c r="F123" i="4"/>
  <c r="F14" i="4"/>
  <c r="F15" i="4"/>
  <c r="F16" i="4"/>
  <c r="G16" i="4" s="1"/>
  <c r="F17" i="4"/>
  <c r="F18" i="4"/>
  <c r="G18" i="4" s="1"/>
  <c r="F19" i="4"/>
  <c r="G19" i="4" s="1"/>
  <c r="F20" i="4"/>
  <c r="G20" i="4" s="1"/>
  <c r="F21" i="4"/>
  <c r="G21" i="4" s="1"/>
  <c r="F13" i="4"/>
  <c r="G13" i="4" s="1"/>
  <c r="G14" i="4"/>
  <c r="G15" i="4"/>
  <c r="G24" i="4"/>
  <c r="G32" i="4"/>
  <c r="G33" i="4"/>
  <c r="G34" i="4"/>
  <c r="G35" i="4"/>
  <c r="G36" i="4"/>
  <c r="G37" i="4"/>
  <c r="G38" i="4"/>
  <c r="G40" i="4"/>
  <c r="G42" i="4"/>
  <c r="G44" i="4"/>
  <c r="G45" i="4"/>
  <c r="G46" i="4"/>
  <c r="G47" i="4"/>
  <c r="G48" i="4"/>
  <c r="G49" i="4"/>
  <c r="G50" i="4"/>
  <c r="G51" i="4"/>
  <c r="G52" i="4"/>
  <c r="G54" i="4"/>
  <c r="G55" i="4"/>
  <c r="G56" i="4"/>
  <c r="G57" i="4"/>
  <c r="G58" i="4"/>
  <c r="G59" i="4"/>
  <c r="G60" i="4"/>
  <c r="G61" i="4"/>
  <c r="G62" i="4"/>
  <c r="G65" i="4"/>
  <c r="G66" i="4"/>
  <c r="G67" i="4"/>
  <c r="G68" i="4"/>
  <c r="G69" i="4"/>
  <c r="G70" i="4"/>
  <c r="G71" i="4"/>
  <c r="G72" i="4"/>
  <c r="G75" i="4"/>
  <c r="G76" i="4"/>
  <c r="G77" i="4"/>
  <c r="G78" i="4"/>
  <c r="G79" i="4"/>
  <c r="G80" i="4"/>
  <c r="G81" i="4"/>
  <c r="G82" i="4"/>
  <c r="G85" i="4"/>
  <c r="G86" i="4"/>
  <c r="G87" i="4"/>
  <c r="G88" i="4"/>
  <c r="G89" i="4"/>
  <c r="G90" i="4"/>
  <c r="G91" i="4"/>
  <c r="G92" i="4"/>
  <c r="G95" i="4"/>
  <c r="G96" i="4"/>
  <c r="G97" i="4"/>
  <c r="G98" i="4"/>
  <c r="G99" i="4"/>
  <c r="G100" i="4"/>
  <c r="G101" i="4"/>
  <c r="G103" i="4"/>
  <c r="G105" i="4"/>
  <c r="G106" i="4"/>
  <c r="G107" i="4"/>
  <c r="G108" i="4"/>
  <c r="G109" i="4"/>
  <c r="G110" i="4"/>
  <c r="G111" i="4"/>
  <c r="G112" i="4"/>
  <c r="G113" i="4"/>
  <c r="G115" i="4"/>
  <c r="G116" i="4"/>
  <c r="G117" i="4"/>
  <c r="G118" i="4"/>
  <c r="G119" i="4"/>
  <c r="G120" i="4"/>
  <c r="G121" i="4"/>
  <c r="G122" i="4"/>
  <c r="G123" i="4"/>
  <c r="H14" i="2"/>
  <c r="H15" i="2"/>
  <c r="H16" i="2"/>
  <c r="H18" i="2"/>
  <c r="H19" i="2"/>
  <c r="H20" i="2"/>
  <c r="H21" i="2"/>
  <c r="H24" i="2"/>
  <c r="H25" i="2"/>
  <c r="H26" i="2"/>
  <c r="H34" i="2"/>
  <c r="H35" i="2"/>
  <c r="H36" i="2"/>
  <c r="H37" i="2"/>
  <c r="H38" i="2"/>
  <c r="H44" i="2"/>
  <c r="H45" i="2"/>
  <c r="H46" i="2"/>
  <c r="H47" i="2"/>
  <c r="H48" i="2"/>
  <c r="H49" i="2"/>
  <c r="H50" i="2"/>
  <c r="H54" i="2"/>
  <c r="H56" i="2"/>
  <c r="H57" i="2"/>
  <c r="H58" i="2"/>
  <c r="H59" i="2"/>
  <c r="H60" i="2"/>
  <c r="H61" i="2"/>
  <c r="H64" i="2"/>
  <c r="H65" i="2"/>
  <c r="H66" i="2"/>
  <c r="H67" i="2"/>
  <c r="H68" i="2"/>
  <c r="H69" i="2"/>
  <c r="H70" i="2"/>
  <c r="H71" i="2"/>
  <c r="H74" i="2"/>
  <c r="H75" i="2"/>
  <c r="H76" i="2"/>
  <c r="H77" i="2"/>
  <c r="H78" i="2"/>
  <c r="H79" i="2"/>
  <c r="H80" i="2"/>
  <c r="H81" i="2"/>
  <c r="H84" i="2"/>
  <c r="H85" i="2"/>
  <c r="H86" i="2"/>
  <c r="H87" i="2"/>
  <c r="H88" i="2"/>
  <c r="H89" i="2"/>
  <c r="H90" i="2"/>
  <c r="H91" i="2"/>
  <c r="H94" i="2"/>
  <c r="H95" i="2"/>
  <c r="H96" i="2"/>
  <c r="H97" i="2"/>
  <c r="H98" i="2"/>
  <c r="H99" i="2"/>
  <c r="H100" i="2"/>
  <c r="H101" i="2"/>
  <c r="H25" i="3"/>
  <c r="H35" i="3"/>
  <c r="H36" i="3"/>
  <c r="H37" i="3"/>
  <c r="H38" i="3"/>
  <c r="H42" i="3"/>
  <c r="H43" i="3"/>
  <c r="H44" i="3"/>
  <c r="H46" i="3"/>
  <c r="H47" i="3"/>
  <c r="H48" i="3"/>
  <c r="H50" i="3"/>
  <c r="H52" i="3"/>
  <c r="H53" i="3"/>
  <c r="H54" i="3"/>
  <c r="H55" i="3"/>
  <c r="H56" i="3"/>
  <c r="H57" i="3"/>
  <c r="H58" i="3"/>
  <c r="H59" i="3"/>
  <c r="H60" i="3"/>
  <c r="H62" i="3"/>
  <c r="H63" i="3"/>
  <c r="H64" i="3"/>
  <c r="H65" i="3"/>
  <c r="H66" i="3"/>
  <c r="H67" i="3"/>
  <c r="H68" i="3"/>
  <c r="H69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12" i="3"/>
  <c r="H113" i="3"/>
  <c r="H114" i="3"/>
  <c r="H115" i="3"/>
  <c r="H116" i="3"/>
  <c r="H122" i="3"/>
  <c r="H123" i="3"/>
  <c r="H124" i="3"/>
  <c r="H125" i="3"/>
  <c r="H126" i="3"/>
  <c r="H132" i="3"/>
  <c r="H133" i="3"/>
  <c r="H134" i="3"/>
  <c r="H135" i="3"/>
  <c r="H136" i="3"/>
  <c r="H14" i="3"/>
  <c r="H15" i="3"/>
  <c r="H16" i="3"/>
  <c r="H18" i="3"/>
  <c r="H19" i="3"/>
  <c r="H13" i="3"/>
  <c r="F16" i="1"/>
  <c r="F17" i="1"/>
  <c r="F18" i="1"/>
  <c r="F19" i="1"/>
  <c r="F23" i="1"/>
  <c r="F24" i="1"/>
  <c r="F25" i="1"/>
  <c r="F31" i="1"/>
  <c r="F32" i="1"/>
  <c r="F33" i="1"/>
  <c r="F34" i="1"/>
  <c r="F35" i="1"/>
  <c r="F36" i="1"/>
  <c r="F41" i="1"/>
  <c r="F42" i="1"/>
  <c r="F43" i="1"/>
  <c r="F44" i="1"/>
  <c r="F45" i="1"/>
  <c r="F46" i="1"/>
  <c r="F51" i="1"/>
  <c r="F52" i="1"/>
  <c r="F53" i="1"/>
  <c r="F54" i="1"/>
  <c r="F55" i="1"/>
  <c r="F56" i="1"/>
  <c r="F61" i="1"/>
  <c r="F62" i="1"/>
  <c r="F63" i="1"/>
  <c r="F64" i="1"/>
  <c r="F65" i="1"/>
  <c r="F66" i="1"/>
  <c r="F11" i="1"/>
  <c r="F12" i="1"/>
  <c r="F13" i="1"/>
  <c r="F10" i="1"/>
</calcChain>
</file>

<file path=xl/sharedStrings.xml><?xml version="1.0" encoding="utf-8"?>
<sst xmlns="http://schemas.openxmlformats.org/spreadsheetml/2006/main" count="476" uniqueCount="243">
  <si>
    <t>Tabuelan Sea Transport Inc.</t>
  </si>
  <si>
    <t>Passage Rates (RORO)</t>
  </si>
  <si>
    <t>Kawit, Medellin, Cebu to Sta Fe Bantayan Island Cebu (vice versa) route</t>
  </si>
  <si>
    <t>Schedules of Rates</t>
  </si>
  <si>
    <t>Accomodation / Class</t>
  </si>
  <si>
    <t>Rates</t>
  </si>
  <si>
    <t>Full Aircon</t>
  </si>
  <si>
    <t>Senior Citizen Aircon</t>
  </si>
  <si>
    <t>Student Aircon</t>
  </si>
  <si>
    <t>Half Aircon (3 yrs to 9 yrs old)</t>
  </si>
  <si>
    <t>Below 3 yrs old</t>
  </si>
  <si>
    <t>Full Economy</t>
  </si>
  <si>
    <t>Senior Citizen Economy</t>
  </si>
  <si>
    <t>Student Economy</t>
  </si>
  <si>
    <t>Half Economy (3 yrs to 9 yrs old)</t>
  </si>
  <si>
    <t>Cargo Rates (per piece)</t>
  </si>
  <si>
    <t>Class A</t>
  </si>
  <si>
    <t>Class B</t>
  </si>
  <si>
    <t>Class C</t>
  </si>
  <si>
    <t>RORO Rates</t>
  </si>
  <si>
    <t>Type of Vehicle</t>
  </si>
  <si>
    <t>Bicycle</t>
  </si>
  <si>
    <t>Bicycle with side car</t>
  </si>
  <si>
    <t>Tricycle</t>
  </si>
  <si>
    <t>Motorcycle below 400cc</t>
  </si>
  <si>
    <t>Motorcycle with 400cc and above</t>
  </si>
  <si>
    <t>Multicab, Owner type jeep</t>
  </si>
  <si>
    <t>Automobile (Sedan)</t>
  </si>
  <si>
    <t>SUV / AUV / Pick up</t>
  </si>
  <si>
    <t>Van L300</t>
  </si>
  <si>
    <t>Bus (50 pax capacity below)</t>
  </si>
  <si>
    <t>Bus (50 pax capacity and above)</t>
  </si>
  <si>
    <t>4w single tire jeep</t>
  </si>
  <si>
    <t>4w passenger jeep ,4w elf</t>
  </si>
  <si>
    <t>4w canter van,canter pick-up,bonggo (empty)</t>
  </si>
  <si>
    <t>4w canter van,canter pick-up,bonggo (loaded)</t>
  </si>
  <si>
    <t>6w elf (empty)</t>
  </si>
  <si>
    <t>6w elf (loaded)</t>
  </si>
  <si>
    <t>6w forward (empty)</t>
  </si>
  <si>
    <t>6w forward (loaded)</t>
  </si>
  <si>
    <t>6w forward extended (empty)</t>
  </si>
  <si>
    <t>6w forward extended (loaded)</t>
  </si>
  <si>
    <t>8w truck (empty)</t>
  </si>
  <si>
    <t>8w truck (loaded)</t>
  </si>
  <si>
    <t>8w dump truck (empty)</t>
  </si>
  <si>
    <t>8w dump truck (loaded)</t>
  </si>
  <si>
    <t>10w drop side/wing van (empty)</t>
  </si>
  <si>
    <t>10w drop side/wing van (loaded)</t>
  </si>
  <si>
    <t>12-18w trucks (empty)</t>
  </si>
  <si>
    <t>12-18w trucks (loaded)</t>
  </si>
  <si>
    <t>Heavy Equipment below 10 tons</t>
  </si>
  <si>
    <t>Heavy Equipment 10-15 tons</t>
  </si>
  <si>
    <t>Heavy Equipment 16-20 tons</t>
  </si>
  <si>
    <t>Heavy Equipment 21-50 tons</t>
  </si>
  <si>
    <t>20 ft Trailer with head (empty)</t>
  </si>
  <si>
    <t>20 ft trailer with head (loaded)</t>
  </si>
  <si>
    <t>40 ft trailer with head (empty)</t>
  </si>
  <si>
    <t>40 ft trailer with head (loaded)</t>
  </si>
  <si>
    <t>20 ft Trailer without head (empty)</t>
  </si>
  <si>
    <t>20 ft trailer without head (loaded)</t>
  </si>
  <si>
    <t>40 ft trailer without head (empty)</t>
  </si>
  <si>
    <t>40 ft trailer without head (loaded)</t>
  </si>
  <si>
    <t>TABUELAN SEA TRANSPORT CORPORATION</t>
  </si>
  <si>
    <t>2F Manoling Bldng. V. Gullas Street, Brgy. San Roque Cebu City</t>
  </si>
  <si>
    <t>Polambato, Bogo to Palompon, Leyte (vice versa)</t>
  </si>
  <si>
    <t>TARIFFS RATES</t>
  </si>
  <si>
    <t>Schedules of Rates (Per Link)</t>
  </si>
  <si>
    <t>Passages Rates</t>
  </si>
  <si>
    <t>LINKS</t>
  </si>
  <si>
    <t>Type of</t>
  </si>
  <si>
    <t>From</t>
  </si>
  <si>
    <t>To</t>
  </si>
  <si>
    <t>Polambato</t>
  </si>
  <si>
    <t>Palompon</t>
  </si>
  <si>
    <t>Aircon</t>
  </si>
  <si>
    <t>Senior Aircon</t>
  </si>
  <si>
    <t>Half Aircon</t>
  </si>
  <si>
    <t>Non Aircon</t>
  </si>
  <si>
    <t>Student Non Aircon</t>
  </si>
  <si>
    <t>Senior Non Aircon</t>
  </si>
  <si>
    <t>Half Non Aircon</t>
  </si>
  <si>
    <t>RORO RATES</t>
  </si>
  <si>
    <t>Trisikad / bicycle with side car</t>
  </si>
  <si>
    <t>Motorcycle</t>
  </si>
  <si>
    <t>Motorcycle big bike</t>
  </si>
  <si>
    <t>Big Bus (60pax capacity)</t>
  </si>
  <si>
    <t>Jeep Owner Type</t>
  </si>
  <si>
    <t>Mini Bus (30 pax capacity)</t>
  </si>
  <si>
    <t>4w automobiles, Multicab Pick-up</t>
  </si>
  <si>
    <t>4w Van Type</t>
  </si>
  <si>
    <t>-</t>
  </si>
  <si>
    <t>4w light van (canter /elf)</t>
  </si>
  <si>
    <t>4w light van (canter /elf)-loaded</t>
  </si>
  <si>
    <t>6w light van (canter/elf)</t>
  </si>
  <si>
    <t>6w light van (canter/elf)-loaded</t>
  </si>
  <si>
    <t>6w light van (forward/fighter)</t>
  </si>
  <si>
    <t>6w light van (forward/fighter)-loaded</t>
  </si>
  <si>
    <t>6w big vans</t>
  </si>
  <si>
    <t>6w big vans-loaded</t>
  </si>
  <si>
    <t>6w wheelers dump truck</t>
  </si>
  <si>
    <t>6w wheelers dump truck-loaded</t>
  </si>
  <si>
    <t>6w forward/fighters extended</t>
  </si>
  <si>
    <t>6w forward/fighters extended-loaded</t>
  </si>
  <si>
    <t>8-wheeler oil tanker</t>
  </si>
  <si>
    <t>8-wheeler oil tanker-loaded</t>
  </si>
  <si>
    <t>8-wheeler long chassis</t>
  </si>
  <si>
    <t>8-wheeler long chassis -loaded</t>
  </si>
  <si>
    <t>10-wheeler long chassis</t>
  </si>
  <si>
    <t>10-wheeler long chassis-loaded</t>
  </si>
  <si>
    <t>10-wheeler short chassis(dumptruck)</t>
  </si>
  <si>
    <t>10-wheeler short chassis(dumptruck)-loaded</t>
  </si>
  <si>
    <t>12-wheeler cargo truck / Panel Van / Dumptruck</t>
  </si>
  <si>
    <t>12-wheeler cargo truck / Panel Van / Dumptruck-loaded</t>
  </si>
  <si>
    <t>Trailer w/ Prime Mover (flat bed) 20 ft</t>
  </si>
  <si>
    <t>Trailer w/ Prime Mover (flat bed) 20 ft-loaded</t>
  </si>
  <si>
    <t>Trailer Only</t>
  </si>
  <si>
    <t>Trailer Only (Loaded)</t>
  </si>
  <si>
    <t>TPM w/ 20 ft container</t>
  </si>
  <si>
    <t>TPM w/ 20 ft container-loaded</t>
  </si>
  <si>
    <t>TPM w/ 40 ft container</t>
  </si>
  <si>
    <t>TPM w/ 40 ft container-loaded</t>
  </si>
  <si>
    <t>Trailer w/ 20 ft container</t>
  </si>
  <si>
    <t>Trailer w/ 20 ft container-loaded</t>
  </si>
  <si>
    <t>Prime Mover -6w</t>
  </si>
  <si>
    <t>Prime Mover -10w</t>
  </si>
  <si>
    <t>Forklift (5 tons down)</t>
  </si>
  <si>
    <t>Forklift (5 tons to 20 tons )</t>
  </si>
  <si>
    <t>Forklift (20 tons )</t>
  </si>
  <si>
    <t>Mixer Truck (Small)</t>
  </si>
  <si>
    <t>Mixer Truck (Medium)</t>
  </si>
  <si>
    <t>Mixer Truck (Large)</t>
  </si>
  <si>
    <t>Road Roller (5 tons down)</t>
  </si>
  <si>
    <t>Road Roller (5 tons to 20 tons)</t>
  </si>
  <si>
    <t>Road Roller (20 tons up)</t>
  </si>
  <si>
    <t>Farm Tracktor (5 tons below)</t>
  </si>
  <si>
    <t>Farm Tracktor (5 tons up)</t>
  </si>
  <si>
    <t>Bulldozer (small)</t>
  </si>
  <si>
    <t>Bulldozer (medium)</t>
  </si>
  <si>
    <t>Bulldozer (large)</t>
  </si>
  <si>
    <t>Grader (Small)</t>
  </si>
  <si>
    <t>Grader (Medium)</t>
  </si>
  <si>
    <t>Grader (Large)</t>
  </si>
  <si>
    <t>Payloader (Small)</t>
  </si>
  <si>
    <t>Payloader (Medium)</t>
  </si>
  <si>
    <t>Payloader (Large)</t>
  </si>
  <si>
    <t>Crane (Small)</t>
  </si>
  <si>
    <t>Crane (Medium)</t>
  </si>
  <si>
    <t>Crane (Large)</t>
  </si>
  <si>
    <t>Excavator (small) (backhoe)</t>
  </si>
  <si>
    <t>Excavator (medium) (backhoe)</t>
  </si>
  <si>
    <t>Excavator (large) (backhoe)</t>
  </si>
  <si>
    <t>Guardian Four Aces Shipping Corporation</t>
  </si>
  <si>
    <t>Brgy. Dungguan Danao City to Pingag Isabel Leyte vice versa</t>
  </si>
  <si>
    <t>Brgy.Dungguan</t>
  </si>
  <si>
    <t>Pingag</t>
  </si>
  <si>
    <t>Bicycle (big bike)</t>
  </si>
  <si>
    <t>Multicab Passenger Type</t>
  </si>
  <si>
    <t>Multicab Passenger Type-extended</t>
  </si>
  <si>
    <t>4w automobiles</t>
  </si>
  <si>
    <t>4w multicab van,avanza</t>
  </si>
  <si>
    <t>4w Van Type,suv,pick-up</t>
  </si>
  <si>
    <t>4w standard extended/bonggo</t>
  </si>
  <si>
    <t>4w standard extended/bonggo-loaded</t>
  </si>
  <si>
    <t>6w van type(canter/elf)</t>
  </si>
  <si>
    <t>6w van type (canter/elf)-loaded</t>
  </si>
  <si>
    <t>6w van type extended (canter/elf)</t>
  </si>
  <si>
    <t>6w van type extended (canter/elf)-loaded</t>
  </si>
  <si>
    <t>6w van type (forward/fighter)</t>
  </si>
  <si>
    <t>6w van type (forward/fighter)-loaded</t>
  </si>
  <si>
    <t>6w van type extended (forward/fighter)</t>
  </si>
  <si>
    <t>6w van type extended (forward/fighter)-loaded</t>
  </si>
  <si>
    <t>6w drop side (canter/elf)</t>
  </si>
  <si>
    <t>6w drop side (canter/elf)-loaded</t>
  </si>
  <si>
    <t>6w drop side extended (canter/elf)</t>
  </si>
  <si>
    <t>6w drop side extended (canter/elf)-loaded</t>
  </si>
  <si>
    <t>6w drop side (forward/fighter)</t>
  </si>
  <si>
    <t>6w drop side (forward/fighter)-loaded</t>
  </si>
  <si>
    <t>6w drop side extended (forward/fighter)</t>
  </si>
  <si>
    <t>6w drop side extended (forward/fighter)-loaded</t>
  </si>
  <si>
    <t>8-wheeler oil tanker (short chassis)</t>
  </si>
  <si>
    <t>8-wheeler oil tanker short chassis -loaded</t>
  </si>
  <si>
    <t>10-wheeler short chassis oil tanker</t>
  </si>
  <si>
    <t>10-wheeler short chassis oil tanker-loaded</t>
  </si>
  <si>
    <t>10-wheeler long chassis oil tanker</t>
  </si>
  <si>
    <t>10-wheeler long chassis oil tanker-loaded</t>
  </si>
  <si>
    <t>10-wheeler long chassis(dumptruck)</t>
  </si>
  <si>
    <t>10-wheeler long chassis(dumptruck)-loaded</t>
  </si>
  <si>
    <t>10-wheeler drop side</t>
  </si>
  <si>
    <t>10-wheeler drop side loaded</t>
  </si>
  <si>
    <t>10-wheeler drop side extended</t>
  </si>
  <si>
    <t>10-wheeler drop side extended-loaded</t>
  </si>
  <si>
    <t>10-wheeler wingvan short chassis</t>
  </si>
  <si>
    <t>10-wheeler wingvan short chassis-loaded</t>
  </si>
  <si>
    <t>10-wheeler wingvan long chassis</t>
  </si>
  <si>
    <t>10-wheeler wingvan long chassis-loaded</t>
  </si>
  <si>
    <t>10-wheeler wingvan extended</t>
  </si>
  <si>
    <t>10-wheeler wingvan extended-loaded</t>
  </si>
  <si>
    <t>TPM Trailer w/ Prime Mover (flat bed) 20 ft</t>
  </si>
  <si>
    <t>TPM Trailer w/ Prime Mover (flat bed) 20 ft-loaded</t>
  </si>
  <si>
    <t>TPM Trailer w/ Prime Mover (flat bed) 40 ft</t>
  </si>
  <si>
    <t>TPM Trailer w/ Prime Mover (flat bed) 40 ft-loaded</t>
  </si>
  <si>
    <t>TPM w/ prime mover 20 ftr tanker</t>
  </si>
  <si>
    <t>TPM w/ prime mover 20 ftr tanker-loaded</t>
  </si>
  <si>
    <t>Trailer w/ 40 ft container</t>
  </si>
  <si>
    <t>Trailer w/ 40 ft container-loaded</t>
  </si>
  <si>
    <t>HEAVY EQUIPMENT</t>
  </si>
  <si>
    <t>Forklift (6 TO 10 TONS)</t>
  </si>
  <si>
    <t>Forklift (11 tons to 20 tons )</t>
  </si>
  <si>
    <t>Forklift (21 tons up )</t>
  </si>
  <si>
    <t>Road Roller (6 tons to 10 tons )</t>
  </si>
  <si>
    <t>Road Roller (11 tons to 20 tons)</t>
  </si>
  <si>
    <t>Road Roller (21 tons up)</t>
  </si>
  <si>
    <t>Farm Trucktor (5 tons down)</t>
  </si>
  <si>
    <t>Farm Trucktor (6 tons to 10 tons )</t>
  </si>
  <si>
    <t>Farm Trucktor (11 tons to 20 tons)</t>
  </si>
  <si>
    <t>Farm Trucktor (21 tons up)</t>
  </si>
  <si>
    <t>Crane w/ boom small 27 tonner</t>
  </si>
  <si>
    <t>Crane w/o boom small</t>
  </si>
  <si>
    <t>Crane w/ boom medium 30 tonner</t>
  </si>
  <si>
    <t>Crane w/o boom medium</t>
  </si>
  <si>
    <t>Crane / boom large -35 tonner</t>
  </si>
  <si>
    <t>Crane w/o boom large</t>
  </si>
  <si>
    <t>GUARDIAN FOUR ACES SHIPPING CORPORATION</t>
  </si>
  <si>
    <t>Tabuelan, Cebu to Escalante, Negros Occ. Vice versa</t>
  </si>
  <si>
    <t>Tabuelan</t>
  </si>
  <si>
    <t>Escalante</t>
  </si>
  <si>
    <t>Forklift (5 tons down)small</t>
  </si>
  <si>
    <t>Forklift (5 tons up) large</t>
  </si>
  <si>
    <t>Mixer Truck (Small) 6w</t>
  </si>
  <si>
    <t>Mixer Truck (b-16) 10w</t>
  </si>
  <si>
    <t>Road Roller (5 tons down) small</t>
  </si>
  <si>
    <t>Road Roller (5 tons up )large</t>
  </si>
  <si>
    <t>Farm Trucktor (5 tons down)small</t>
  </si>
  <si>
    <t>Farm Trucktor (5 tons up) large</t>
  </si>
  <si>
    <t>Bulldozer -b16 (d85)small</t>
  </si>
  <si>
    <t>Bulldozer (d75)large</t>
  </si>
  <si>
    <t>Crane w/ boom b16 45tons</t>
  </si>
  <si>
    <t>Crane w/o boom b16 45tons large</t>
  </si>
  <si>
    <t>Crane w/ boom small</t>
  </si>
  <si>
    <t>Excavator (large) (backhoe) b16</t>
  </si>
  <si>
    <t>Surcharge</t>
  </si>
  <si>
    <t>Surcharge =	Additional 30%</t>
  </si>
  <si>
    <t>NEW RATE Base Rate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</si>
</sst>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0"/>
      <color rgb="FF000000"/>
      <name val="Arial"/>
      <scheme val="minor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9" fontId="0" fillId="0" borderId="0" xfId="0" applyNumberFormat="1"/>
    <xf numFmtId="0" fontId="6" fillId="0" borderId="0" xfId="0" applyFont="1" applyAlignment="1">
      <alignment horizontal="left"/>
    </xf>
    <xf numFmtId="0" fontId="6" fillId="2" borderId="0" xfId="0" applyFont="1" applyFill="1"/>
    <xf numFmtId="0" fontId="0" fillId="2" borderId="0" xfId="0" applyFill="1"/>
    <xf numFmtId="0" fontId="1" fillId="0" borderId="0" xfId="0" applyFont="1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70"/>
  <sheetViews>
    <sheetView tabSelected="1" workbookViewId="0">
      <selection activeCell="H37" sqref="H37"/>
    </sheetView>
  </sheetViews>
  <sheetFormatPr baseColWidth="10" defaultColWidth="12.6640625" defaultRowHeight="15.75" customHeight="1" x14ac:dyDescent="0.15"/>
  <cols>
    <col min="5" max="5" width="14.6640625" customWidth="1"/>
    <col min="6" max="6" width="26.1640625" bestFit="1" customWidth="1"/>
  </cols>
  <sheetData>
    <row r="2" spans="1:10" ht="15.75" customHeight="1" x14ac:dyDescent="0.25">
      <c r="A2" s="1" t="s">
        <v>0</v>
      </c>
      <c r="B2" s="1"/>
      <c r="C2" s="1"/>
      <c r="D2" s="1"/>
    </row>
    <row r="3" spans="1:10" ht="15.75" customHeight="1" x14ac:dyDescent="0.25">
      <c r="A3" s="1" t="s">
        <v>1</v>
      </c>
      <c r="B3" s="1"/>
      <c r="C3" s="1"/>
      <c r="D3" s="1"/>
    </row>
    <row r="4" spans="1:10" ht="16" x14ac:dyDescent="0.2">
      <c r="A4" s="22" t="s">
        <v>2</v>
      </c>
      <c r="B4" s="19"/>
      <c r="C4" s="19"/>
      <c r="D4" s="19"/>
      <c r="E4" s="19"/>
      <c r="F4" s="19"/>
      <c r="G4" s="19"/>
      <c r="I4" s="13"/>
      <c r="J4" s="14"/>
    </row>
    <row r="5" spans="1:10" ht="15" x14ac:dyDescent="0.2">
      <c r="A5" s="3"/>
      <c r="B5" s="3"/>
      <c r="C5" s="3"/>
      <c r="D5" s="3"/>
    </row>
    <row r="6" spans="1:10" ht="15.75" customHeight="1" x14ac:dyDescent="0.25">
      <c r="A6" s="4" t="s">
        <v>3</v>
      </c>
      <c r="B6" s="4"/>
      <c r="C6" s="4"/>
      <c r="D6" s="4"/>
    </row>
    <row r="7" spans="1:10" ht="15" x14ac:dyDescent="0.2">
      <c r="A7" s="3"/>
      <c r="B7" s="3"/>
      <c r="C7" s="3"/>
      <c r="D7" s="3"/>
      <c r="E7" s="21" t="s">
        <v>241</v>
      </c>
      <c r="F7" s="21"/>
    </row>
    <row r="8" spans="1:10" ht="15.75" customHeight="1" x14ac:dyDescent="0.25">
      <c r="A8" s="4" t="s">
        <v>4</v>
      </c>
      <c r="B8" s="4"/>
      <c r="C8" s="4"/>
      <c r="D8" s="4" t="s">
        <v>5</v>
      </c>
      <c r="E8" s="13" t="s">
        <v>240</v>
      </c>
      <c r="F8" s="16" t="s">
        <v>242</v>
      </c>
    </row>
    <row r="9" spans="1:10" ht="15" x14ac:dyDescent="0.2">
      <c r="A9" s="3"/>
      <c r="B9" s="3"/>
      <c r="C9" s="3"/>
      <c r="D9" s="3"/>
      <c r="F9" s="17"/>
    </row>
    <row r="10" spans="1:10" ht="15" x14ac:dyDescent="0.2">
      <c r="A10" s="3" t="s">
        <v>6</v>
      </c>
      <c r="B10" s="3"/>
      <c r="C10" s="3"/>
      <c r="D10" s="5">
        <v>310</v>
      </c>
      <c r="E10">
        <f>MROUND(D10*30%,5)</f>
        <v>95</v>
      </c>
      <c r="F10" s="24">
        <f>SUM(D10,E10)</f>
        <v>405</v>
      </c>
    </row>
    <row r="11" spans="1:10" ht="15" x14ac:dyDescent="0.2">
      <c r="A11" s="3" t="s">
        <v>7</v>
      </c>
      <c r="B11" s="3"/>
      <c r="C11" s="3"/>
      <c r="D11" s="3">
        <v>220</v>
      </c>
      <c r="E11">
        <f t="shared" ref="E11:E70" si="0">MROUND(D11*30%,5)</f>
        <v>65</v>
      </c>
      <c r="F11" s="24">
        <f t="shared" ref="F11:F70" si="1">SUM(D11,E11)</f>
        <v>285</v>
      </c>
    </row>
    <row r="12" spans="1:10" ht="15" x14ac:dyDescent="0.2">
      <c r="A12" s="3" t="s">
        <v>8</v>
      </c>
      <c r="B12" s="3"/>
      <c r="C12" s="3"/>
      <c r="D12" s="3">
        <v>245</v>
      </c>
      <c r="E12">
        <f t="shared" si="0"/>
        <v>75</v>
      </c>
      <c r="F12" s="24">
        <f t="shared" si="1"/>
        <v>320</v>
      </c>
    </row>
    <row r="13" spans="1:10" ht="15" x14ac:dyDescent="0.2">
      <c r="A13" s="3" t="s">
        <v>9</v>
      </c>
      <c r="B13" s="3"/>
      <c r="C13" s="3"/>
      <c r="D13" s="3">
        <v>155</v>
      </c>
      <c r="E13">
        <f t="shared" si="0"/>
        <v>45</v>
      </c>
      <c r="F13" s="24">
        <f t="shared" si="1"/>
        <v>200</v>
      </c>
    </row>
    <row r="14" spans="1:10" ht="15" x14ac:dyDescent="0.2">
      <c r="A14" s="3" t="s">
        <v>10</v>
      </c>
      <c r="B14" s="3"/>
      <c r="C14" s="3"/>
      <c r="D14" s="3"/>
      <c r="F14" s="24"/>
    </row>
    <row r="15" spans="1:10" ht="15" x14ac:dyDescent="0.2">
      <c r="A15" s="3"/>
      <c r="B15" s="3"/>
      <c r="C15" s="3"/>
      <c r="D15" s="3"/>
      <c r="F15" s="24"/>
    </row>
    <row r="16" spans="1:10" ht="15" x14ac:dyDescent="0.2">
      <c r="A16" s="3" t="s">
        <v>11</v>
      </c>
      <c r="B16" s="3"/>
      <c r="C16" s="3"/>
      <c r="D16" s="3">
        <v>250</v>
      </c>
      <c r="E16">
        <f t="shared" si="0"/>
        <v>75</v>
      </c>
      <c r="F16" s="24">
        <f t="shared" si="1"/>
        <v>325</v>
      </c>
    </row>
    <row r="17" spans="1:6" ht="15" x14ac:dyDescent="0.2">
      <c r="A17" s="3" t="s">
        <v>12</v>
      </c>
      <c r="B17" s="3"/>
      <c r="C17" s="3"/>
      <c r="D17" s="3">
        <v>175</v>
      </c>
      <c r="E17">
        <f t="shared" si="0"/>
        <v>55</v>
      </c>
      <c r="F17" s="24">
        <f t="shared" si="1"/>
        <v>230</v>
      </c>
    </row>
    <row r="18" spans="1:6" ht="15" x14ac:dyDescent="0.2">
      <c r="A18" s="3" t="s">
        <v>13</v>
      </c>
      <c r="B18" s="3"/>
      <c r="C18" s="3"/>
      <c r="D18" s="3">
        <v>200</v>
      </c>
      <c r="E18">
        <f t="shared" si="0"/>
        <v>60</v>
      </c>
      <c r="F18" s="24">
        <f t="shared" si="1"/>
        <v>260</v>
      </c>
    </row>
    <row r="19" spans="1:6" ht="15" x14ac:dyDescent="0.2">
      <c r="A19" s="3" t="s">
        <v>14</v>
      </c>
      <c r="B19" s="3"/>
      <c r="C19" s="3"/>
      <c r="D19" s="3">
        <v>125</v>
      </c>
      <c r="E19">
        <f t="shared" si="0"/>
        <v>40</v>
      </c>
      <c r="F19" s="24">
        <f t="shared" si="1"/>
        <v>165</v>
      </c>
    </row>
    <row r="20" spans="1:6" ht="15" x14ac:dyDescent="0.2">
      <c r="A20" s="3" t="s">
        <v>10</v>
      </c>
      <c r="B20" s="3"/>
      <c r="C20" s="3"/>
      <c r="D20" s="3"/>
      <c r="F20" s="24"/>
    </row>
    <row r="21" spans="1:6" ht="15" x14ac:dyDescent="0.2">
      <c r="A21" s="3"/>
      <c r="B21" s="3"/>
      <c r="C21" s="3"/>
      <c r="D21" s="3"/>
      <c r="F21" s="24"/>
    </row>
    <row r="22" spans="1:6" ht="15.75" customHeight="1" x14ac:dyDescent="0.25">
      <c r="A22" s="4" t="s">
        <v>15</v>
      </c>
      <c r="B22" s="4"/>
      <c r="C22" s="4"/>
      <c r="D22" s="3"/>
      <c r="F22" s="24"/>
    </row>
    <row r="23" spans="1:6" ht="15" x14ac:dyDescent="0.2">
      <c r="A23" s="3" t="s">
        <v>16</v>
      </c>
      <c r="B23" s="3"/>
      <c r="C23" s="3"/>
      <c r="D23" s="3">
        <v>120</v>
      </c>
      <c r="E23">
        <f t="shared" si="0"/>
        <v>35</v>
      </c>
      <c r="F23" s="24">
        <f t="shared" si="1"/>
        <v>155</v>
      </c>
    </row>
    <row r="24" spans="1:6" ht="15" x14ac:dyDescent="0.2">
      <c r="A24" s="3" t="s">
        <v>17</v>
      </c>
      <c r="B24" s="3"/>
      <c r="C24" s="3"/>
      <c r="D24" s="3">
        <v>90</v>
      </c>
      <c r="E24">
        <f t="shared" si="0"/>
        <v>25</v>
      </c>
      <c r="F24" s="24">
        <f t="shared" si="1"/>
        <v>115</v>
      </c>
    </row>
    <row r="25" spans="1:6" ht="15" x14ac:dyDescent="0.2">
      <c r="A25" s="3" t="s">
        <v>18</v>
      </c>
      <c r="B25" s="3"/>
      <c r="C25" s="3"/>
      <c r="D25" s="3">
        <v>60</v>
      </c>
      <c r="E25">
        <f t="shared" si="0"/>
        <v>20</v>
      </c>
      <c r="F25" s="24">
        <f t="shared" si="1"/>
        <v>80</v>
      </c>
    </row>
    <row r="26" spans="1:6" ht="15" x14ac:dyDescent="0.2">
      <c r="A26" s="3"/>
      <c r="B26" s="3"/>
      <c r="C26" s="3"/>
      <c r="D26" s="3"/>
      <c r="F26" s="24"/>
    </row>
    <row r="27" spans="1:6" ht="15.75" customHeight="1" x14ac:dyDescent="0.25">
      <c r="A27" s="4" t="s">
        <v>19</v>
      </c>
      <c r="B27" s="4"/>
      <c r="C27" s="4"/>
      <c r="D27" s="3"/>
      <c r="F27" s="24"/>
    </row>
    <row r="28" spans="1:6" ht="15" x14ac:dyDescent="0.2">
      <c r="A28" s="3"/>
      <c r="B28" s="3"/>
      <c r="C28" s="3"/>
      <c r="D28" s="3"/>
      <c r="F28" s="24"/>
    </row>
    <row r="29" spans="1:6" ht="16" x14ac:dyDescent="0.2">
      <c r="A29" s="2" t="s">
        <v>20</v>
      </c>
      <c r="B29" s="2"/>
      <c r="C29" s="2"/>
      <c r="D29" s="3"/>
      <c r="F29" s="24"/>
    </row>
    <row r="30" spans="1:6" ht="15" x14ac:dyDescent="0.2">
      <c r="A30" s="3" t="s">
        <v>21</v>
      </c>
      <c r="B30" s="3"/>
      <c r="C30" s="3"/>
      <c r="D30" s="3">
        <v>155</v>
      </c>
      <c r="E30">
        <f t="shared" si="0"/>
        <v>45</v>
      </c>
      <c r="F30" s="24">
        <f t="shared" si="1"/>
        <v>200</v>
      </c>
    </row>
    <row r="31" spans="1:6" ht="15" x14ac:dyDescent="0.2">
      <c r="A31" s="3" t="s">
        <v>22</v>
      </c>
      <c r="B31" s="3"/>
      <c r="C31" s="3"/>
      <c r="D31" s="3">
        <v>275</v>
      </c>
      <c r="E31">
        <f t="shared" si="0"/>
        <v>85</v>
      </c>
      <c r="F31" s="24">
        <f t="shared" si="1"/>
        <v>360</v>
      </c>
    </row>
    <row r="32" spans="1:6" ht="15" x14ac:dyDescent="0.2">
      <c r="A32" s="3" t="s">
        <v>23</v>
      </c>
      <c r="B32" s="3"/>
      <c r="C32" s="3"/>
      <c r="D32" s="6">
        <v>865</v>
      </c>
      <c r="E32">
        <f t="shared" si="0"/>
        <v>260</v>
      </c>
      <c r="F32" s="24">
        <f t="shared" si="1"/>
        <v>1125</v>
      </c>
    </row>
    <row r="33" spans="1:6" ht="15" x14ac:dyDescent="0.2">
      <c r="A33" s="3" t="s">
        <v>24</v>
      </c>
      <c r="B33" s="3"/>
      <c r="C33" s="3"/>
      <c r="D33" s="3">
        <v>540</v>
      </c>
      <c r="E33">
        <f t="shared" si="0"/>
        <v>160</v>
      </c>
      <c r="F33" s="24">
        <f t="shared" si="1"/>
        <v>700</v>
      </c>
    </row>
    <row r="34" spans="1:6" ht="15" x14ac:dyDescent="0.2">
      <c r="A34" s="3" t="s">
        <v>25</v>
      </c>
      <c r="B34" s="3"/>
      <c r="C34" s="3"/>
      <c r="D34" s="3">
        <v>650</v>
      </c>
      <c r="E34">
        <f t="shared" si="0"/>
        <v>195</v>
      </c>
      <c r="F34" s="24">
        <f t="shared" si="1"/>
        <v>845</v>
      </c>
    </row>
    <row r="35" spans="1:6" ht="15" x14ac:dyDescent="0.2">
      <c r="A35" s="3" t="s">
        <v>26</v>
      </c>
      <c r="B35" s="3"/>
      <c r="C35" s="3"/>
      <c r="D35" s="6">
        <v>1300</v>
      </c>
      <c r="E35">
        <f t="shared" si="0"/>
        <v>390</v>
      </c>
      <c r="F35" s="24">
        <f t="shared" si="1"/>
        <v>1690</v>
      </c>
    </row>
    <row r="36" spans="1:6" ht="15" x14ac:dyDescent="0.2">
      <c r="A36" s="3" t="s">
        <v>27</v>
      </c>
      <c r="B36" s="3"/>
      <c r="C36" s="3"/>
      <c r="D36" s="6">
        <v>1300</v>
      </c>
      <c r="E36">
        <f t="shared" si="0"/>
        <v>390</v>
      </c>
      <c r="F36" s="24">
        <f t="shared" si="1"/>
        <v>1690</v>
      </c>
    </row>
    <row r="37" spans="1:6" ht="15" x14ac:dyDescent="0.2">
      <c r="A37" s="3" t="s">
        <v>28</v>
      </c>
      <c r="B37" s="3"/>
      <c r="C37" s="3"/>
      <c r="D37" s="6">
        <v>1825</v>
      </c>
      <c r="E37">
        <f t="shared" si="0"/>
        <v>550</v>
      </c>
      <c r="F37" s="24">
        <f t="shared" si="1"/>
        <v>2375</v>
      </c>
    </row>
    <row r="38" spans="1:6" ht="15" x14ac:dyDescent="0.2">
      <c r="A38" s="3" t="s">
        <v>29</v>
      </c>
      <c r="B38" s="3"/>
      <c r="C38" s="3"/>
      <c r="D38" s="6">
        <v>1825</v>
      </c>
      <c r="E38">
        <f t="shared" si="0"/>
        <v>550</v>
      </c>
      <c r="F38" s="24">
        <f t="shared" si="1"/>
        <v>2375</v>
      </c>
    </row>
    <row r="39" spans="1:6" ht="15" x14ac:dyDescent="0.2">
      <c r="A39" s="3" t="s">
        <v>30</v>
      </c>
      <c r="B39" s="3"/>
      <c r="C39" s="3"/>
      <c r="D39" s="6">
        <v>2305</v>
      </c>
      <c r="E39">
        <f t="shared" si="0"/>
        <v>690</v>
      </c>
      <c r="F39" s="24">
        <f t="shared" si="1"/>
        <v>2995</v>
      </c>
    </row>
    <row r="40" spans="1:6" ht="15" x14ac:dyDescent="0.2">
      <c r="A40" s="3" t="s">
        <v>31</v>
      </c>
      <c r="B40" s="3"/>
      <c r="C40" s="3"/>
      <c r="D40" s="6">
        <v>2880</v>
      </c>
      <c r="E40">
        <f t="shared" si="0"/>
        <v>865</v>
      </c>
      <c r="F40" s="24">
        <f t="shared" si="1"/>
        <v>3745</v>
      </c>
    </row>
    <row r="41" spans="1:6" ht="15" x14ac:dyDescent="0.2">
      <c r="A41" s="3" t="s">
        <v>32</v>
      </c>
      <c r="B41" s="3"/>
      <c r="C41" s="3"/>
      <c r="D41" s="6">
        <v>1300</v>
      </c>
      <c r="E41">
        <f t="shared" si="0"/>
        <v>390</v>
      </c>
      <c r="F41" s="24">
        <f t="shared" si="1"/>
        <v>1690</v>
      </c>
    </row>
    <row r="42" spans="1:6" ht="15" x14ac:dyDescent="0.2">
      <c r="A42" s="3" t="s">
        <v>33</v>
      </c>
      <c r="B42" s="3"/>
      <c r="C42" s="3"/>
      <c r="D42" s="6">
        <v>1825</v>
      </c>
      <c r="E42">
        <f t="shared" si="0"/>
        <v>550</v>
      </c>
      <c r="F42" s="24">
        <f t="shared" si="1"/>
        <v>2375</v>
      </c>
    </row>
    <row r="43" spans="1:6" ht="15" x14ac:dyDescent="0.2">
      <c r="A43" s="7" t="s">
        <v>34</v>
      </c>
      <c r="B43" s="3"/>
      <c r="C43" s="3"/>
      <c r="D43" s="6">
        <v>1730</v>
      </c>
      <c r="E43">
        <f t="shared" si="0"/>
        <v>520</v>
      </c>
      <c r="F43" s="24">
        <f t="shared" si="1"/>
        <v>2250</v>
      </c>
    </row>
    <row r="44" spans="1:6" ht="15" x14ac:dyDescent="0.2">
      <c r="A44" s="7" t="s">
        <v>35</v>
      </c>
      <c r="B44" s="3"/>
      <c r="C44" s="3"/>
      <c r="D44" s="6">
        <v>1920</v>
      </c>
      <c r="E44">
        <f t="shared" si="0"/>
        <v>575</v>
      </c>
      <c r="F44" s="24">
        <f t="shared" si="1"/>
        <v>2495</v>
      </c>
    </row>
    <row r="45" spans="1:6" ht="15" x14ac:dyDescent="0.2">
      <c r="A45" s="3" t="s">
        <v>36</v>
      </c>
      <c r="B45" s="3"/>
      <c r="C45" s="3"/>
      <c r="D45" s="6">
        <v>1920</v>
      </c>
      <c r="E45">
        <f t="shared" si="0"/>
        <v>575</v>
      </c>
      <c r="F45" s="24">
        <f t="shared" si="1"/>
        <v>2495</v>
      </c>
    </row>
    <row r="46" spans="1:6" ht="15" x14ac:dyDescent="0.2">
      <c r="A46" s="3" t="s">
        <v>37</v>
      </c>
      <c r="B46" s="3"/>
      <c r="C46" s="3"/>
      <c r="D46" s="6">
        <v>2200</v>
      </c>
      <c r="E46">
        <f t="shared" si="0"/>
        <v>660</v>
      </c>
      <c r="F46" s="24">
        <f t="shared" si="1"/>
        <v>2860</v>
      </c>
    </row>
    <row r="47" spans="1:6" ht="15" x14ac:dyDescent="0.2">
      <c r="A47" s="3" t="s">
        <v>38</v>
      </c>
      <c r="B47" s="3"/>
      <c r="C47" s="3"/>
      <c r="D47" s="6">
        <v>2200</v>
      </c>
      <c r="E47">
        <f t="shared" si="0"/>
        <v>660</v>
      </c>
      <c r="F47" s="24">
        <f t="shared" si="1"/>
        <v>2860</v>
      </c>
    </row>
    <row r="48" spans="1:6" ht="15" x14ac:dyDescent="0.2">
      <c r="A48" s="3" t="s">
        <v>39</v>
      </c>
      <c r="B48" s="3"/>
      <c r="C48" s="3"/>
      <c r="D48" s="6">
        <v>2495</v>
      </c>
      <c r="E48">
        <f t="shared" si="0"/>
        <v>750</v>
      </c>
      <c r="F48" s="24">
        <f t="shared" si="1"/>
        <v>3245</v>
      </c>
    </row>
    <row r="49" spans="1:6" ht="15" x14ac:dyDescent="0.2">
      <c r="A49" s="3" t="s">
        <v>40</v>
      </c>
      <c r="B49" s="3"/>
      <c r="C49" s="3"/>
      <c r="D49" s="6">
        <v>2785</v>
      </c>
      <c r="E49">
        <f t="shared" si="0"/>
        <v>835</v>
      </c>
      <c r="F49" s="24">
        <f t="shared" si="1"/>
        <v>3620</v>
      </c>
    </row>
    <row r="50" spans="1:6" ht="15" x14ac:dyDescent="0.2">
      <c r="A50" s="3" t="s">
        <v>41</v>
      </c>
      <c r="B50" s="3"/>
      <c r="C50" s="3"/>
      <c r="D50" s="6">
        <v>3070</v>
      </c>
      <c r="E50">
        <f t="shared" si="0"/>
        <v>920</v>
      </c>
      <c r="F50" s="24">
        <f t="shared" si="1"/>
        <v>3990</v>
      </c>
    </row>
    <row r="51" spans="1:6" ht="15" x14ac:dyDescent="0.2">
      <c r="A51" s="3" t="s">
        <v>42</v>
      </c>
      <c r="B51" s="3"/>
      <c r="C51" s="3"/>
      <c r="D51" s="6">
        <v>2785</v>
      </c>
      <c r="E51">
        <f t="shared" si="0"/>
        <v>835</v>
      </c>
      <c r="F51" s="24">
        <f t="shared" si="1"/>
        <v>3620</v>
      </c>
    </row>
    <row r="52" spans="1:6" ht="15" x14ac:dyDescent="0.2">
      <c r="A52" s="3" t="s">
        <v>43</v>
      </c>
      <c r="B52" s="3"/>
      <c r="C52" s="3"/>
      <c r="D52" s="6">
        <v>3070</v>
      </c>
      <c r="E52">
        <f t="shared" si="0"/>
        <v>920</v>
      </c>
      <c r="F52" s="24">
        <f t="shared" si="1"/>
        <v>3990</v>
      </c>
    </row>
    <row r="53" spans="1:6" ht="15" x14ac:dyDescent="0.2">
      <c r="A53" s="3" t="s">
        <v>44</v>
      </c>
      <c r="B53" s="3"/>
      <c r="C53" s="3"/>
      <c r="D53" s="6">
        <v>2785</v>
      </c>
      <c r="E53">
        <f t="shared" si="0"/>
        <v>835</v>
      </c>
      <c r="F53" s="24">
        <f t="shared" si="1"/>
        <v>3620</v>
      </c>
    </row>
    <row r="54" spans="1:6" ht="15" x14ac:dyDescent="0.2">
      <c r="A54" s="3" t="s">
        <v>45</v>
      </c>
      <c r="B54" s="3"/>
      <c r="C54" s="3"/>
      <c r="D54" s="6">
        <v>3070</v>
      </c>
      <c r="E54">
        <f t="shared" si="0"/>
        <v>920</v>
      </c>
      <c r="F54" s="24">
        <f t="shared" si="1"/>
        <v>3990</v>
      </c>
    </row>
    <row r="55" spans="1:6" ht="15" x14ac:dyDescent="0.2">
      <c r="A55" s="3" t="s">
        <v>46</v>
      </c>
      <c r="B55" s="3"/>
      <c r="C55" s="3"/>
      <c r="D55" s="6">
        <v>2880</v>
      </c>
      <c r="E55">
        <f t="shared" si="0"/>
        <v>865</v>
      </c>
      <c r="F55" s="24">
        <f t="shared" si="1"/>
        <v>3745</v>
      </c>
    </row>
    <row r="56" spans="1:6" ht="15" x14ac:dyDescent="0.2">
      <c r="A56" s="3" t="s">
        <v>47</v>
      </c>
      <c r="B56" s="3"/>
      <c r="C56" s="3"/>
      <c r="D56" s="6">
        <v>3070</v>
      </c>
      <c r="E56">
        <f t="shared" si="0"/>
        <v>920</v>
      </c>
      <c r="F56" s="24">
        <f t="shared" si="1"/>
        <v>3990</v>
      </c>
    </row>
    <row r="57" spans="1:6" ht="15" x14ac:dyDescent="0.2">
      <c r="A57" s="3" t="s">
        <v>48</v>
      </c>
      <c r="B57" s="3"/>
      <c r="C57" s="3"/>
      <c r="D57" s="6">
        <v>3650</v>
      </c>
      <c r="E57">
        <f t="shared" si="0"/>
        <v>1095</v>
      </c>
      <c r="F57" s="24">
        <f t="shared" si="1"/>
        <v>4745</v>
      </c>
    </row>
    <row r="58" spans="1:6" ht="15" x14ac:dyDescent="0.2">
      <c r="A58" s="3" t="s">
        <v>49</v>
      </c>
      <c r="B58" s="3"/>
      <c r="C58" s="3"/>
      <c r="D58" s="6">
        <v>4400</v>
      </c>
      <c r="E58">
        <f t="shared" si="0"/>
        <v>1320</v>
      </c>
      <c r="F58" s="24">
        <f t="shared" si="1"/>
        <v>5720</v>
      </c>
    </row>
    <row r="59" spans="1:6" ht="15" x14ac:dyDescent="0.2">
      <c r="A59" s="3" t="s">
        <v>50</v>
      </c>
      <c r="B59" s="3"/>
      <c r="C59" s="3"/>
      <c r="D59" s="6">
        <v>4030</v>
      </c>
      <c r="E59">
        <f t="shared" si="0"/>
        <v>1210</v>
      </c>
      <c r="F59" s="24">
        <f t="shared" si="1"/>
        <v>5240</v>
      </c>
    </row>
    <row r="60" spans="1:6" ht="15" x14ac:dyDescent="0.2">
      <c r="A60" s="3" t="s">
        <v>51</v>
      </c>
      <c r="B60" s="3"/>
      <c r="C60" s="3"/>
      <c r="D60" s="6">
        <v>8065</v>
      </c>
      <c r="E60">
        <f t="shared" si="0"/>
        <v>2420</v>
      </c>
      <c r="F60" s="24">
        <f t="shared" si="1"/>
        <v>10485</v>
      </c>
    </row>
    <row r="61" spans="1:6" ht="15" x14ac:dyDescent="0.2">
      <c r="A61" s="3" t="s">
        <v>52</v>
      </c>
      <c r="B61" s="3"/>
      <c r="C61" s="3"/>
      <c r="D61" s="6">
        <v>12095</v>
      </c>
      <c r="E61">
        <f t="shared" si="0"/>
        <v>3630</v>
      </c>
      <c r="F61" s="24">
        <f t="shared" si="1"/>
        <v>15725</v>
      </c>
    </row>
    <row r="62" spans="1:6" ht="15" x14ac:dyDescent="0.2">
      <c r="A62" s="3" t="s">
        <v>53</v>
      </c>
      <c r="B62" s="3"/>
      <c r="C62" s="3"/>
      <c r="D62" s="6">
        <v>16130</v>
      </c>
      <c r="E62">
        <f t="shared" si="0"/>
        <v>4840</v>
      </c>
      <c r="F62" s="24">
        <f t="shared" si="1"/>
        <v>20970</v>
      </c>
    </row>
    <row r="63" spans="1:6" ht="15" x14ac:dyDescent="0.2">
      <c r="A63" s="3" t="s">
        <v>54</v>
      </c>
      <c r="B63" s="3"/>
      <c r="C63" s="3"/>
      <c r="D63" s="6">
        <v>4800</v>
      </c>
      <c r="E63">
        <f t="shared" si="0"/>
        <v>1440</v>
      </c>
      <c r="F63" s="24">
        <f t="shared" si="1"/>
        <v>6240</v>
      </c>
    </row>
    <row r="64" spans="1:6" ht="15" x14ac:dyDescent="0.2">
      <c r="A64" s="3" t="s">
        <v>55</v>
      </c>
      <c r="B64" s="3"/>
      <c r="C64" s="3"/>
      <c r="D64" s="6">
        <v>6000</v>
      </c>
      <c r="E64">
        <f t="shared" si="0"/>
        <v>1800</v>
      </c>
      <c r="F64" s="24">
        <f t="shared" si="1"/>
        <v>7800</v>
      </c>
    </row>
    <row r="65" spans="1:6" ht="15" x14ac:dyDescent="0.2">
      <c r="A65" s="3" t="s">
        <v>56</v>
      </c>
      <c r="B65" s="3"/>
      <c r="C65" s="3"/>
      <c r="D65" s="6">
        <v>7040</v>
      </c>
      <c r="E65">
        <f t="shared" si="0"/>
        <v>2110</v>
      </c>
      <c r="F65" s="24">
        <f t="shared" si="1"/>
        <v>9150</v>
      </c>
    </row>
    <row r="66" spans="1:6" ht="15" x14ac:dyDescent="0.2">
      <c r="A66" s="3" t="s">
        <v>57</v>
      </c>
      <c r="B66" s="3"/>
      <c r="C66" s="3"/>
      <c r="D66" s="6">
        <v>8400</v>
      </c>
      <c r="E66">
        <f t="shared" si="0"/>
        <v>2520</v>
      </c>
      <c r="F66" s="24">
        <f t="shared" si="1"/>
        <v>10920</v>
      </c>
    </row>
    <row r="67" spans="1:6" ht="15" x14ac:dyDescent="0.2">
      <c r="A67" s="3" t="s">
        <v>58</v>
      </c>
      <c r="B67" s="3"/>
      <c r="C67" s="3"/>
      <c r="D67" s="6">
        <v>4400</v>
      </c>
      <c r="E67">
        <f t="shared" si="0"/>
        <v>1320</v>
      </c>
      <c r="F67" s="24">
        <f t="shared" si="1"/>
        <v>5720</v>
      </c>
    </row>
    <row r="68" spans="1:6" ht="15" x14ac:dyDescent="0.2">
      <c r="A68" s="3" t="s">
        <v>59</v>
      </c>
      <c r="B68" s="3"/>
      <c r="C68" s="3"/>
      <c r="D68" s="6">
        <v>4800</v>
      </c>
      <c r="E68">
        <f t="shared" si="0"/>
        <v>1440</v>
      </c>
      <c r="F68" s="24">
        <f t="shared" si="1"/>
        <v>6240</v>
      </c>
    </row>
    <row r="69" spans="1:6" ht="15" x14ac:dyDescent="0.2">
      <c r="A69" s="3" t="s">
        <v>60</v>
      </c>
      <c r="B69" s="3"/>
      <c r="C69" s="3"/>
      <c r="D69" s="6">
        <v>4800</v>
      </c>
      <c r="E69">
        <f t="shared" si="0"/>
        <v>1440</v>
      </c>
      <c r="F69" s="24">
        <f t="shared" si="1"/>
        <v>6240</v>
      </c>
    </row>
    <row r="70" spans="1:6" ht="15" x14ac:dyDescent="0.2">
      <c r="A70" s="3" t="s">
        <v>61</v>
      </c>
      <c r="B70" s="3"/>
      <c r="C70" s="3"/>
      <c r="D70" s="6">
        <v>7200</v>
      </c>
      <c r="E70">
        <f t="shared" si="0"/>
        <v>2160</v>
      </c>
      <c r="F70" s="24">
        <f t="shared" si="1"/>
        <v>9360</v>
      </c>
    </row>
  </sheetData>
  <mergeCells count="2">
    <mergeCell ref="A4:G4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H104"/>
  <sheetViews>
    <sheetView workbookViewId="0">
      <selection activeCell="G13" sqref="G13"/>
    </sheetView>
  </sheetViews>
  <sheetFormatPr baseColWidth="10" defaultColWidth="12.6640625" defaultRowHeight="15.75" customHeight="1" x14ac:dyDescent="0.15"/>
  <cols>
    <col min="4" max="4" width="57.1640625" customWidth="1"/>
    <col min="8" max="8" width="26.1640625" bestFit="1" customWidth="1"/>
  </cols>
  <sheetData>
    <row r="2" spans="1:8" ht="15.75" customHeight="1" x14ac:dyDescent="0.25">
      <c r="A2" s="18" t="s">
        <v>62</v>
      </c>
      <c r="B2" s="19"/>
      <c r="C2" s="19"/>
      <c r="D2" s="19"/>
      <c r="E2" s="19"/>
      <c r="F2" s="19"/>
      <c r="G2" s="19"/>
      <c r="H2" s="1"/>
    </row>
    <row r="3" spans="1:8" ht="15.75" customHeight="1" x14ac:dyDescent="0.25">
      <c r="A3" s="18" t="s">
        <v>63</v>
      </c>
      <c r="B3" s="19"/>
      <c r="C3" s="19"/>
      <c r="D3" s="19"/>
      <c r="E3" s="19"/>
      <c r="F3" s="19"/>
      <c r="G3" s="19"/>
      <c r="H3" s="19"/>
    </row>
    <row r="4" spans="1:8" ht="15.75" customHeight="1" x14ac:dyDescent="0.25">
      <c r="A4" s="18" t="s">
        <v>64</v>
      </c>
      <c r="B4" s="19"/>
      <c r="C4" s="19"/>
      <c r="D4" s="19"/>
      <c r="E4" s="19"/>
      <c r="F4" s="19"/>
      <c r="G4" s="19"/>
      <c r="H4" s="1"/>
    </row>
    <row r="5" spans="1:8" ht="15" x14ac:dyDescent="0.2">
      <c r="A5" s="3"/>
      <c r="B5" s="3"/>
      <c r="C5" s="3"/>
      <c r="D5" s="3"/>
      <c r="E5" s="3"/>
      <c r="F5" s="3"/>
    </row>
    <row r="6" spans="1:8" ht="16" x14ac:dyDescent="0.2">
      <c r="A6" s="22" t="s">
        <v>65</v>
      </c>
      <c r="B6" s="19"/>
      <c r="C6" s="2"/>
      <c r="D6" s="2"/>
      <c r="E6" s="2"/>
      <c r="F6" s="2"/>
    </row>
    <row r="7" spans="1:8" ht="15" x14ac:dyDescent="0.2">
      <c r="A7" s="3"/>
      <c r="B7" s="3"/>
      <c r="C7" s="3"/>
      <c r="D7" s="3"/>
      <c r="E7" s="3"/>
      <c r="F7" s="3"/>
    </row>
    <row r="8" spans="1:8" ht="15" x14ac:dyDescent="0.2">
      <c r="A8" s="20" t="s">
        <v>66</v>
      </c>
      <c r="B8" s="19"/>
      <c r="C8" s="19"/>
      <c r="D8" s="8"/>
      <c r="E8" s="8"/>
      <c r="F8" s="8"/>
    </row>
    <row r="9" spans="1:8" ht="15" x14ac:dyDescent="0.2">
      <c r="A9" s="20" t="s">
        <v>67</v>
      </c>
      <c r="B9" s="19"/>
      <c r="C9" s="8"/>
      <c r="D9" s="8"/>
      <c r="E9" s="8"/>
      <c r="F9" s="8"/>
    </row>
    <row r="10" spans="1:8" ht="15" x14ac:dyDescent="0.2">
      <c r="A10" s="3"/>
      <c r="B10" s="3"/>
      <c r="C10" s="3"/>
      <c r="D10" s="3"/>
      <c r="E10" s="3"/>
      <c r="F10" s="3"/>
      <c r="G10" s="21" t="s">
        <v>241</v>
      </c>
      <c r="H10" s="21"/>
    </row>
    <row r="11" spans="1:8" ht="15" x14ac:dyDescent="0.2">
      <c r="A11" s="8" t="s">
        <v>68</v>
      </c>
      <c r="B11" s="8"/>
      <c r="C11" s="8"/>
      <c r="D11" s="9" t="s">
        <v>69</v>
      </c>
      <c r="E11" s="8"/>
      <c r="F11" s="8" t="s">
        <v>5</v>
      </c>
      <c r="G11" s="13" t="s">
        <v>240</v>
      </c>
      <c r="H11" s="16" t="s">
        <v>242</v>
      </c>
    </row>
    <row r="12" spans="1:8" ht="15" x14ac:dyDescent="0.2">
      <c r="A12" s="8" t="s">
        <v>70</v>
      </c>
      <c r="B12" s="8" t="s">
        <v>71</v>
      </c>
      <c r="C12" s="8"/>
      <c r="D12" s="8" t="s">
        <v>4</v>
      </c>
      <c r="E12" s="8"/>
      <c r="F12" s="8"/>
      <c r="H12" s="17"/>
    </row>
    <row r="13" spans="1:8" ht="15" x14ac:dyDescent="0.2">
      <c r="A13" s="8" t="s">
        <v>72</v>
      </c>
      <c r="B13" s="8" t="s">
        <v>73</v>
      </c>
      <c r="C13" s="3"/>
      <c r="D13" s="3" t="s">
        <v>74</v>
      </c>
      <c r="E13" s="3"/>
      <c r="F13" s="3">
        <v>550</v>
      </c>
      <c r="G13">
        <f>MROUND(F13*30%,5)</f>
        <v>165</v>
      </c>
      <c r="H13" s="24">
        <f>SUM(F13,G13)</f>
        <v>715</v>
      </c>
    </row>
    <row r="14" spans="1:8" ht="15" x14ac:dyDescent="0.2">
      <c r="A14" s="3"/>
      <c r="B14" s="3"/>
      <c r="C14" s="3"/>
      <c r="D14" s="3" t="s">
        <v>8</v>
      </c>
      <c r="E14" s="3"/>
      <c r="F14" s="3">
        <v>440</v>
      </c>
      <c r="G14">
        <f t="shared" ref="G14:G77" si="0">MROUND(F14*30%,5)</f>
        <v>130</v>
      </c>
      <c r="H14" s="24">
        <f t="shared" ref="H14:H77" si="1">SUM(F14,G14)</f>
        <v>570</v>
      </c>
    </row>
    <row r="15" spans="1:8" ht="15" x14ac:dyDescent="0.2">
      <c r="A15" s="3"/>
      <c r="B15" s="3"/>
      <c r="C15" s="3"/>
      <c r="D15" s="3" t="s">
        <v>75</v>
      </c>
      <c r="E15" s="3"/>
      <c r="F15" s="3">
        <v>390</v>
      </c>
      <c r="G15">
        <f t="shared" si="0"/>
        <v>115</v>
      </c>
      <c r="H15" s="24">
        <f t="shared" si="1"/>
        <v>505</v>
      </c>
    </row>
    <row r="16" spans="1:8" ht="15" x14ac:dyDescent="0.2">
      <c r="A16" s="3"/>
      <c r="B16" s="3"/>
      <c r="C16" s="3"/>
      <c r="D16" s="3" t="s">
        <v>76</v>
      </c>
      <c r="E16" s="3"/>
      <c r="F16" s="3">
        <v>275</v>
      </c>
      <c r="G16">
        <f t="shared" si="0"/>
        <v>85</v>
      </c>
      <c r="H16" s="24">
        <f t="shared" si="1"/>
        <v>360</v>
      </c>
    </row>
    <row r="17" spans="1:8" ht="15" x14ac:dyDescent="0.2">
      <c r="A17" s="3"/>
      <c r="B17" s="3"/>
      <c r="C17" s="3"/>
      <c r="D17" s="3"/>
      <c r="E17" s="3"/>
      <c r="F17" s="3"/>
      <c r="H17" s="24"/>
    </row>
    <row r="18" spans="1:8" ht="15" x14ac:dyDescent="0.2">
      <c r="A18" s="3"/>
      <c r="B18" s="3"/>
      <c r="C18" s="3"/>
      <c r="D18" s="3" t="s">
        <v>77</v>
      </c>
      <c r="E18" s="3"/>
      <c r="F18" s="3">
        <v>450</v>
      </c>
      <c r="G18">
        <f t="shared" si="0"/>
        <v>135</v>
      </c>
      <c r="H18" s="24">
        <f t="shared" si="1"/>
        <v>585</v>
      </c>
    </row>
    <row r="19" spans="1:8" ht="15" x14ac:dyDescent="0.2">
      <c r="A19" s="3"/>
      <c r="B19" s="3"/>
      <c r="C19" s="3"/>
      <c r="D19" s="3" t="s">
        <v>78</v>
      </c>
      <c r="E19" s="3"/>
      <c r="F19" s="3">
        <v>360</v>
      </c>
      <c r="G19">
        <f t="shared" si="0"/>
        <v>110</v>
      </c>
      <c r="H19" s="24">
        <f t="shared" si="1"/>
        <v>470</v>
      </c>
    </row>
    <row r="20" spans="1:8" ht="15" x14ac:dyDescent="0.2">
      <c r="A20" s="3"/>
      <c r="B20" s="3"/>
      <c r="C20" s="3"/>
      <c r="D20" s="3" t="s">
        <v>79</v>
      </c>
      <c r="E20" s="3"/>
      <c r="F20" s="3">
        <v>320</v>
      </c>
      <c r="G20">
        <f t="shared" si="0"/>
        <v>95</v>
      </c>
      <c r="H20" s="24">
        <f t="shared" si="1"/>
        <v>415</v>
      </c>
    </row>
    <row r="21" spans="1:8" ht="15" x14ac:dyDescent="0.2">
      <c r="A21" s="3"/>
      <c r="B21" s="3"/>
      <c r="C21" s="3"/>
      <c r="D21" s="3" t="s">
        <v>80</v>
      </c>
      <c r="E21" s="3"/>
      <c r="F21" s="3">
        <v>225</v>
      </c>
      <c r="G21">
        <f t="shared" si="0"/>
        <v>70</v>
      </c>
      <c r="H21" s="24">
        <f t="shared" si="1"/>
        <v>295</v>
      </c>
    </row>
    <row r="22" spans="1:8" ht="15" x14ac:dyDescent="0.2">
      <c r="A22" s="3"/>
      <c r="B22" s="3"/>
      <c r="C22" s="3"/>
      <c r="D22" s="3"/>
      <c r="E22" s="3"/>
      <c r="F22" s="3"/>
      <c r="H22" s="24"/>
    </row>
    <row r="23" spans="1:8" ht="15" x14ac:dyDescent="0.2">
      <c r="A23" s="20" t="s">
        <v>15</v>
      </c>
      <c r="B23" s="19"/>
      <c r="C23" s="8"/>
      <c r="D23" s="8"/>
      <c r="E23" s="3"/>
      <c r="F23" s="3"/>
      <c r="H23" s="24"/>
    </row>
    <row r="24" spans="1:8" ht="15" x14ac:dyDescent="0.2">
      <c r="A24" s="8" t="s">
        <v>70</v>
      </c>
      <c r="B24" s="8" t="s">
        <v>71</v>
      </c>
      <c r="C24" s="8"/>
      <c r="D24" s="23" t="s">
        <v>16</v>
      </c>
      <c r="E24" s="19"/>
      <c r="F24" s="3">
        <v>500</v>
      </c>
      <c r="G24">
        <f t="shared" si="0"/>
        <v>150</v>
      </c>
      <c r="H24" s="24">
        <f t="shared" si="1"/>
        <v>650</v>
      </c>
    </row>
    <row r="25" spans="1:8" ht="15" x14ac:dyDescent="0.2">
      <c r="A25" s="8" t="s">
        <v>72</v>
      </c>
      <c r="B25" s="8" t="s">
        <v>73</v>
      </c>
      <c r="C25" s="3"/>
      <c r="D25" s="3" t="s">
        <v>17</v>
      </c>
      <c r="E25" s="3"/>
      <c r="F25" s="3">
        <v>300</v>
      </c>
      <c r="G25">
        <f t="shared" si="0"/>
        <v>90</v>
      </c>
      <c r="H25" s="24">
        <f t="shared" si="1"/>
        <v>390</v>
      </c>
    </row>
    <row r="26" spans="1:8" ht="15" x14ac:dyDescent="0.2">
      <c r="A26" s="3"/>
      <c r="B26" s="3"/>
      <c r="C26" s="3"/>
      <c r="D26" s="3" t="s">
        <v>18</v>
      </c>
      <c r="E26" s="3"/>
      <c r="F26" s="3">
        <v>100</v>
      </c>
      <c r="G26">
        <f t="shared" si="0"/>
        <v>30</v>
      </c>
      <c r="H26" s="24">
        <f t="shared" si="1"/>
        <v>130</v>
      </c>
    </row>
    <row r="27" spans="1:8" ht="15" x14ac:dyDescent="0.2">
      <c r="A27" s="20" t="s">
        <v>81</v>
      </c>
      <c r="B27" s="19"/>
      <c r="C27" s="3"/>
      <c r="D27" s="3"/>
      <c r="E27" s="3"/>
      <c r="F27" s="3"/>
      <c r="H27" s="24"/>
    </row>
    <row r="28" spans="1:8" ht="15" x14ac:dyDescent="0.2">
      <c r="A28" s="8" t="s">
        <v>68</v>
      </c>
      <c r="B28" s="8"/>
      <c r="C28" s="3"/>
      <c r="D28" s="3"/>
      <c r="E28" s="3"/>
      <c r="F28" s="3"/>
      <c r="H28" s="24"/>
    </row>
    <row r="29" spans="1:8" ht="15" x14ac:dyDescent="0.2">
      <c r="A29" s="8"/>
      <c r="B29" s="8"/>
      <c r="C29" s="3"/>
      <c r="D29" s="3"/>
      <c r="E29" s="3"/>
      <c r="F29" s="3"/>
      <c r="H29" s="24"/>
    </row>
    <row r="30" spans="1:8" ht="15" x14ac:dyDescent="0.2">
      <c r="A30" s="8" t="s">
        <v>70</v>
      </c>
      <c r="B30" s="8" t="s">
        <v>71</v>
      </c>
      <c r="C30" s="3"/>
      <c r="D30" s="8" t="s">
        <v>20</v>
      </c>
      <c r="E30" s="3"/>
      <c r="F30" s="3"/>
      <c r="H30" s="24"/>
    </row>
    <row r="31" spans="1:8" ht="15" x14ac:dyDescent="0.2">
      <c r="A31" s="8" t="s">
        <v>72</v>
      </c>
      <c r="B31" s="8" t="s">
        <v>73</v>
      </c>
      <c r="C31" s="3"/>
      <c r="D31" s="3" t="s">
        <v>21</v>
      </c>
      <c r="E31" s="3"/>
      <c r="F31" s="3">
        <v>135</v>
      </c>
      <c r="G31">
        <f t="shared" si="0"/>
        <v>40</v>
      </c>
      <c r="H31" s="24">
        <f t="shared" si="1"/>
        <v>175</v>
      </c>
    </row>
    <row r="32" spans="1:8" ht="15" x14ac:dyDescent="0.2">
      <c r="A32" s="8"/>
      <c r="B32" s="8"/>
      <c r="C32" s="3"/>
      <c r="D32" s="23" t="s">
        <v>82</v>
      </c>
      <c r="E32" s="19"/>
      <c r="F32" s="3">
        <v>360</v>
      </c>
      <c r="G32">
        <f t="shared" si="0"/>
        <v>110</v>
      </c>
      <c r="H32" s="24">
        <f t="shared" si="1"/>
        <v>470</v>
      </c>
    </row>
    <row r="33" spans="1:8" ht="15" x14ac:dyDescent="0.2">
      <c r="A33" s="8"/>
      <c r="B33" s="8"/>
      <c r="C33" s="3"/>
      <c r="D33" s="3" t="s">
        <v>83</v>
      </c>
      <c r="E33" s="6"/>
      <c r="F33" s="6">
        <v>1205</v>
      </c>
      <c r="G33">
        <f t="shared" si="0"/>
        <v>360</v>
      </c>
      <c r="H33" s="24">
        <f t="shared" si="1"/>
        <v>1565</v>
      </c>
    </row>
    <row r="34" spans="1:8" ht="15" x14ac:dyDescent="0.2">
      <c r="A34" s="8"/>
      <c r="B34" s="8"/>
      <c r="C34" s="3"/>
      <c r="D34" s="3" t="s">
        <v>23</v>
      </c>
      <c r="E34" s="6"/>
      <c r="F34" s="6">
        <v>1510</v>
      </c>
      <c r="G34">
        <f t="shared" si="0"/>
        <v>455</v>
      </c>
      <c r="H34" s="24">
        <f t="shared" si="1"/>
        <v>1965</v>
      </c>
    </row>
    <row r="35" spans="1:8" ht="15" x14ac:dyDescent="0.2">
      <c r="A35" s="8"/>
      <c r="B35" s="8"/>
      <c r="C35" s="3"/>
      <c r="D35" s="3" t="s">
        <v>84</v>
      </c>
      <c r="E35" s="6"/>
      <c r="F35" s="10">
        <v>1510</v>
      </c>
      <c r="G35">
        <f t="shared" si="0"/>
        <v>455</v>
      </c>
      <c r="H35" s="24">
        <f t="shared" si="1"/>
        <v>1965</v>
      </c>
    </row>
    <row r="36" spans="1:8" ht="15" x14ac:dyDescent="0.2">
      <c r="A36" s="8"/>
      <c r="B36" s="8"/>
      <c r="C36" s="3"/>
      <c r="D36" s="23" t="s">
        <v>85</v>
      </c>
      <c r="E36" s="19"/>
      <c r="F36" s="6">
        <v>5510</v>
      </c>
      <c r="G36">
        <f t="shared" si="0"/>
        <v>1655</v>
      </c>
      <c r="H36" s="24">
        <f t="shared" si="1"/>
        <v>7165</v>
      </c>
    </row>
    <row r="37" spans="1:8" ht="15" x14ac:dyDescent="0.2">
      <c r="A37" s="8"/>
      <c r="B37" s="8"/>
      <c r="C37" s="3"/>
      <c r="D37" s="3" t="s">
        <v>86</v>
      </c>
      <c r="E37" s="6"/>
      <c r="F37" s="6">
        <v>2615</v>
      </c>
      <c r="G37">
        <f t="shared" si="0"/>
        <v>785</v>
      </c>
      <c r="H37" s="24">
        <f t="shared" si="1"/>
        <v>3400</v>
      </c>
    </row>
    <row r="38" spans="1:8" ht="15" x14ac:dyDescent="0.2">
      <c r="A38" s="8"/>
      <c r="B38" s="8"/>
      <c r="C38" s="3"/>
      <c r="D38" s="23" t="s">
        <v>87</v>
      </c>
      <c r="E38" s="19"/>
      <c r="F38" s="6">
        <v>4165</v>
      </c>
      <c r="G38">
        <f t="shared" si="0"/>
        <v>1250</v>
      </c>
      <c r="H38" s="24">
        <f t="shared" si="1"/>
        <v>5415</v>
      </c>
    </row>
    <row r="39" spans="1:8" ht="15" x14ac:dyDescent="0.2">
      <c r="A39" s="8"/>
      <c r="B39" s="8"/>
      <c r="C39" s="3"/>
      <c r="D39" s="3"/>
      <c r="E39" s="3"/>
      <c r="F39" s="3"/>
      <c r="H39" s="24"/>
    </row>
    <row r="40" spans="1:8" ht="15" x14ac:dyDescent="0.2">
      <c r="A40" s="8" t="s">
        <v>72</v>
      </c>
      <c r="B40" s="8" t="s">
        <v>73</v>
      </c>
      <c r="C40" s="3"/>
      <c r="D40" s="23" t="s">
        <v>88</v>
      </c>
      <c r="E40" s="19"/>
      <c r="F40" s="6">
        <v>2890</v>
      </c>
      <c r="G40">
        <f t="shared" si="0"/>
        <v>865</v>
      </c>
      <c r="H40" s="24">
        <f t="shared" si="1"/>
        <v>3755</v>
      </c>
    </row>
    <row r="41" spans="1:8" ht="15" x14ac:dyDescent="0.2">
      <c r="A41" s="8"/>
      <c r="B41" s="8"/>
      <c r="C41" s="3"/>
      <c r="D41" s="3" t="s">
        <v>89</v>
      </c>
      <c r="E41" s="6"/>
      <c r="F41" s="10">
        <v>3485</v>
      </c>
      <c r="G41">
        <f t="shared" si="0"/>
        <v>1045</v>
      </c>
      <c r="H41" s="24">
        <f t="shared" si="1"/>
        <v>4530</v>
      </c>
    </row>
    <row r="42" spans="1:8" ht="15" x14ac:dyDescent="0.2">
      <c r="A42" s="8"/>
      <c r="B42" s="8"/>
      <c r="C42" s="3"/>
      <c r="D42" s="3"/>
      <c r="E42" s="3" t="s">
        <v>90</v>
      </c>
      <c r="F42" s="3"/>
      <c r="H42" s="24"/>
    </row>
    <row r="43" spans="1:8" ht="15" x14ac:dyDescent="0.2">
      <c r="A43" s="8" t="s">
        <v>72</v>
      </c>
      <c r="B43" s="8" t="s">
        <v>73</v>
      </c>
      <c r="C43" s="3"/>
      <c r="D43" s="23" t="s">
        <v>91</v>
      </c>
      <c r="E43" s="19"/>
      <c r="F43" s="6">
        <v>3485</v>
      </c>
      <c r="G43">
        <f t="shared" si="0"/>
        <v>1045</v>
      </c>
      <c r="H43" s="24">
        <f t="shared" si="1"/>
        <v>4530</v>
      </c>
    </row>
    <row r="44" spans="1:8" ht="15" x14ac:dyDescent="0.2">
      <c r="A44" s="8"/>
      <c r="B44" s="8"/>
      <c r="C44" s="3"/>
      <c r="D44" s="23" t="s">
        <v>92</v>
      </c>
      <c r="E44" s="19"/>
      <c r="F44" s="6">
        <v>3970</v>
      </c>
      <c r="G44">
        <f t="shared" si="0"/>
        <v>1190</v>
      </c>
      <c r="H44" s="24">
        <f t="shared" si="1"/>
        <v>5160</v>
      </c>
    </row>
    <row r="45" spans="1:8" ht="15" x14ac:dyDescent="0.2">
      <c r="A45" s="8"/>
      <c r="B45" s="8"/>
      <c r="C45" s="3"/>
      <c r="D45" s="23" t="s">
        <v>93</v>
      </c>
      <c r="E45" s="19"/>
      <c r="F45" s="6">
        <v>3625</v>
      </c>
      <c r="G45">
        <f t="shared" si="0"/>
        <v>1090</v>
      </c>
      <c r="H45" s="24">
        <f t="shared" si="1"/>
        <v>4715</v>
      </c>
    </row>
    <row r="46" spans="1:8" ht="15" x14ac:dyDescent="0.2">
      <c r="A46" s="8"/>
      <c r="B46" s="8"/>
      <c r="C46" s="3"/>
      <c r="D46" s="23" t="s">
        <v>94</v>
      </c>
      <c r="E46" s="19"/>
      <c r="F46" s="6">
        <v>5175</v>
      </c>
      <c r="G46">
        <f t="shared" si="0"/>
        <v>1555</v>
      </c>
      <c r="H46" s="24">
        <f t="shared" si="1"/>
        <v>6730</v>
      </c>
    </row>
    <row r="47" spans="1:8" ht="15" x14ac:dyDescent="0.2">
      <c r="A47" s="8"/>
      <c r="B47" s="8"/>
      <c r="C47" s="3"/>
      <c r="D47" s="23" t="s">
        <v>95</v>
      </c>
      <c r="E47" s="19"/>
      <c r="F47" s="6">
        <v>4840</v>
      </c>
      <c r="G47">
        <f t="shared" si="0"/>
        <v>1450</v>
      </c>
      <c r="H47" s="24">
        <f t="shared" si="1"/>
        <v>6290</v>
      </c>
    </row>
    <row r="48" spans="1:8" ht="15" x14ac:dyDescent="0.2">
      <c r="A48" s="8"/>
      <c r="B48" s="8"/>
      <c r="C48" s="3"/>
      <c r="D48" s="23" t="s">
        <v>96</v>
      </c>
      <c r="E48" s="19"/>
      <c r="F48" s="6">
        <v>6625</v>
      </c>
      <c r="G48">
        <f t="shared" si="0"/>
        <v>1990</v>
      </c>
      <c r="H48" s="24">
        <f t="shared" si="1"/>
        <v>8615</v>
      </c>
    </row>
    <row r="49" spans="1:8" ht="15" x14ac:dyDescent="0.2">
      <c r="A49" s="8"/>
      <c r="B49" s="8"/>
      <c r="C49" s="3"/>
      <c r="D49" s="3" t="s">
        <v>97</v>
      </c>
      <c r="E49" s="6"/>
      <c r="F49" s="3">
        <v>4840</v>
      </c>
      <c r="G49">
        <f t="shared" si="0"/>
        <v>1450</v>
      </c>
      <c r="H49" s="24">
        <f t="shared" si="1"/>
        <v>6290</v>
      </c>
    </row>
    <row r="50" spans="1:8" ht="15" x14ac:dyDescent="0.2">
      <c r="A50" s="8"/>
      <c r="B50" s="8"/>
      <c r="C50" s="3"/>
      <c r="D50" s="3" t="s">
        <v>98</v>
      </c>
      <c r="E50" s="6"/>
      <c r="F50" s="3">
        <v>6625</v>
      </c>
      <c r="G50">
        <f t="shared" si="0"/>
        <v>1990</v>
      </c>
      <c r="H50" s="24">
        <f t="shared" si="1"/>
        <v>8615</v>
      </c>
    </row>
    <row r="51" spans="1:8" ht="15" x14ac:dyDescent="0.2">
      <c r="A51" s="8"/>
      <c r="B51" s="8"/>
      <c r="C51" s="3"/>
      <c r="D51" s="23" t="s">
        <v>99</v>
      </c>
      <c r="E51" s="19"/>
      <c r="F51" s="6">
        <v>3635</v>
      </c>
      <c r="G51">
        <f t="shared" si="0"/>
        <v>1090</v>
      </c>
      <c r="H51" s="24">
        <f t="shared" si="1"/>
        <v>4725</v>
      </c>
    </row>
    <row r="52" spans="1:8" ht="15" x14ac:dyDescent="0.2">
      <c r="A52" s="8"/>
      <c r="B52" s="8"/>
      <c r="C52" s="3"/>
      <c r="D52" s="23" t="s">
        <v>100</v>
      </c>
      <c r="E52" s="19"/>
      <c r="F52" s="6">
        <v>5175</v>
      </c>
      <c r="G52">
        <f t="shared" si="0"/>
        <v>1555</v>
      </c>
      <c r="H52" s="24">
        <f t="shared" si="1"/>
        <v>6730</v>
      </c>
    </row>
    <row r="53" spans="1:8" ht="15" x14ac:dyDescent="0.2">
      <c r="A53" s="8"/>
      <c r="B53" s="8"/>
      <c r="C53" s="3"/>
      <c r="D53" s="23" t="s">
        <v>101</v>
      </c>
      <c r="E53" s="19"/>
      <c r="F53" s="6">
        <v>7545</v>
      </c>
      <c r="G53">
        <f t="shared" si="0"/>
        <v>2265</v>
      </c>
      <c r="H53" s="24">
        <f t="shared" si="1"/>
        <v>9810</v>
      </c>
    </row>
    <row r="54" spans="1:8" ht="15" x14ac:dyDescent="0.2">
      <c r="A54" s="8"/>
      <c r="B54" s="8"/>
      <c r="C54" s="3"/>
      <c r="D54" s="23" t="s">
        <v>102</v>
      </c>
      <c r="E54" s="19"/>
      <c r="F54" s="6">
        <v>9420</v>
      </c>
      <c r="G54">
        <f t="shared" si="0"/>
        <v>2825</v>
      </c>
      <c r="H54" s="24">
        <f t="shared" si="1"/>
        <v>12245</v>
      </c>
    </row>
    <row r="55" spans="1:8" ht="15" x14ac:dyDescent="0.2">
      <c r="A55" s="8"/>
      <c r="B55" s="8"/>
      <c r="C55" s="3"/>
      <c r="D55" s="3"/>
      <c r="E55" s="3"/>
      <c r="F55" s="3"/>
      <c r="H55" s="24"/>
    </row>
    <row r="56" spans="1:8" ht="15" x14ac:dyDescent="0.2">
      <c r="A56" s="8" t="s">
        <v>72</v>
      </c>
      <c r="B56" s="8" t="s">
        <v>73</v>
      </c>
      <c r="C56" s="3"/>
      <c r="D56" s="3" t="s">
        <v>103</v>
      </c>
      <c r="E56" s="6"/>
      <c r="F56" s="10">
        <v>7440</v>
      </c>
      <c r="G56">
        <f t="shared" si="0"/>
        <v>2230</v>
      </c>
      <c r="H56" s="24">
        <f t="shared" si="1"/>
        <v>9670</v>
      </c>
    </row>
    <row r="57" spans="1:8" ht="15" x14ac:dyDescent="0.2">
      <c r="A57" s="8"/>
      <c r="B57" s="8"/>
      <c r="C57" s="3"/>
      <c r="D57" s="23" t="s">
        <v>104</v>
      </c>
      <c r="E57" s="19"/>
      <c r="F57" s="6">
        <v>9420</v>
      </c>
      <c r="G57">
        <f t="shared" si="0"/>
        <v>2825</v>
      </c>
      <c r="H57" s="24">
        <f t="shared" si="1"/>
        <v>12245</v>
      </c>
    </row>
    <row r="58" spans="1:8" ht="15" x14ac:dyDescent="0.2">
      <c r="A58" s="8"/>
      <c r="B58" s="8"/>
      <c r="C58" s="3"/>
      <c r="D58" s="3" t="s">
        <v>105</v>
      </c>
      <c r="E58" s="6"/>
      <c r="F58" s="10">
        <v>7440</v>
      </c>
      <c r="G58">
        <f t="shared" si="0"/>
        <v>2230</v>
      </c>
      <c r="H58" s="24">
        <f t="shared" si="1"/>
        <v>9670</v>
      </c>
    </row>
    <row r="59" spans="1:8" ht="15" x14ac:dyDescent="0.2">
      <c r="A59" s="8"/>
      <c r="B59" s="8"/>
      <c r="C59" s="3"/>
      <c r="D59" s="23" t="s">
        <v>106</v>
      </c>
      <c r="E59" s="19"/>
      <c r="F59" s="6">
        <v>9420</v>
      </c>
      <c r="G59">
        <f t="shared" si="0"/>
        <v>2825</v>
      </c>
      <c r="H59" s="24">
        <f t="shared" si="1"/>
        <v>12245</v>
      </c>
    </row>
    <row r="60" spans="1:8" ht="15" x14ac:dyDescent="0.2">
      <c r="A60" s="8"/>
      <c r="B60" s="8"/>
      <c r="C60" s="3"/>
      <c r="D60" s="23" t="s">
        <v>107</v>
      </c>
      <c r="E60" s="19"/>
      <c r="F60" s="6">
        <v>7440</v>
      </c>
      <c r="G60">
        <f t="shared" si="0"/>
        <v>2230</v>
      </c>
      <c r="H60" s="24">
        <f t="shared" si="1"/>
        <v>9670</v>
      </c>
    </row>
    <row r="61" spans="1:8" ht="15" x14ac:dyDescent="0.2">
      <c r="A61" s="8"/>
      <c r="B61" s="8"/>
      <c r="C61" s="3"/>
      <c r="D61" s="23" t="s">
        <v>108</v>
      </c>
      <c r="E61" s="19"/>
      <c r="F61" s="6">
        <v>9420</v>
      </c>
      <c r="G61">
        <f t="shared" si="0"/>
        <v>2825</v>
      </c>
      <c r="H61" s="24">
        <f t="shared" si="1"/>
        <v>12245</v>
      </c>
    </row>
    <row r="62" spans="1:8" ht="15" x14ac:dyDescent="0.2">
      <c r="A62" s="8"/>
      <c r="B62" s="8"/>
      <c r="C62" s="3"/>
      <c r="D62" s="23" t="s">
        <v>109</v>
      </c>
      <c r="E62" s="19"/>
      <c r="F62" s="6">
        <v>7440</v>
      </c>
      <c r="G62">
        <f t="shared" si="0"/>
        <v>2230</v>
      </c>
      <c r="H62" s="24">
        <f t="shared" si="1"/>
        <v>9670</v>
      </c>
    </row>
    <row r="63" spans="1:8" ht="15" x14ac:dyDescent="0.2">
      <c r="A63" s="8"/>
      <c r="B63" s="8"/>
      <c r="C63" s="3"/>
      <c r="D63" s="23" t="s">
        <v>110</v>
      </c>
      <c r="E63" s="19"/>
      <c r="F63" s="6">
        <v>9420</v>
      </c>
      <c r="G63">
        <f t="shared" si="0"/>
        <v>2825</v>
      </c>
      <c r="H63" s="24">
        <f t="shared" si="1"/>
        <v>12245</v>
      </c>
    </row>
    <row r="64" spans="1:8" ht="15" x14ac:dyDescent="0.2">
      <c r="A64" s="8"/>
      <c r="B64" s="8"/>
      <c r="C64" s="3"/>
      <c r="D64" s="23" t="s">
        <v>111</v>
      </c>
      <c r="E64" s="19"/>
      <c r="F64" s="6">
        <v>8795</v>
      </c>
      <c r="G64">
        <f t="shared" si="0"/>
        <v>2640</v>
      </c>
      <c r="H64" s="24">
        <f t="shared" si="1"/>
        <v>11435</v>
      </c>
    </row>
    <row r="65" spans="1:8" ht="15" x14ac:dyDescent="0.2">
      <c r="A65" s="8"/>
      <c r="B65" s="8"/>
      <c r="C65" s="3"/>
      <c r="D65" s="23" t="s">
        <v>112</v>
      </c>
      <c r="E65" s="19"/>
      <c r="F65" s="6">
        <v>10870</v>
      </c>
      <c r="G65">
        <f t="shared" si="0"/>
        <v>3260</v>
      </c>
      <c r="H65" s="24">
        <f t="shared" si="1"/>
        <v>14130</v>
      </c>
    </row>
    <row r="66" spans="1:8" ht="15" x14ac:dyDescent="0.2">
      <c r="A66" s="8"/>
      <c r="B66" s="8"/>
      <c r="C66" s="3"/>
      <c r="D66" s="23" t="s">
        <v>113</v>
      </c>
      <c r="E66" s="19"/>
      <c r="F66" s="6">
        <v>12170</v>
      </c>
      <c r="G66">
        <f t="shared" si="0"/>
        <v>3650</v>
      </c>
      <c r="H66" s="24">
        <f t="shared" si="1"/>
        <v>15820</v>
      </c>
    </row>
    <row r="67" spans="1:8" ht="15" x14ac:dyDescent="0.2">
      <c r="A67" s="8"/>
      <c r="B67" s="8"/>
      <c r="C67" s="3"/>
      <c r="D67" s="23" t="s">
        <v>114</v>
      </c>
      <c r="E67" s="19"/>
      <c r="F67" s="6">
        <v>14490</v>
      </c>
      <c r="G67">
        <f t="shared" si="0"/>
        <v>4345</v>
      </c>
      <c r="H67" s="24">
        <f t="shared" si="1"/>
        <v>18835</v>
      </c>
    </row>
    <row r="68" spans="1:8" ht="15" x14ac:dyDescent="0.2">
      <c r="A68" s="8"/>
      <c r="B68" s="8"/>
      <c r="C68" s="3"/>
      <c r="D68" s="3" t="s">
        <v>115</v>
      </c>
      <c r="E68" s="6"/>
      <c r="F68" s="6">
        <v>8795</v>
      </c>
      <c r="G68">
        <f t="shared" si="0"/>
        <v>2640</v>
      </c>
      <c r="H68" s="24">
        <f t="shared" si="1"/>
        <v>11435</v>
      </c>
    </row>
    <row r="69" spans="1:8" ht="15" x14ac:dyDescent="0.2">
      <c r="A69" s="8"/>
      <c r="B69" s="8"/>
      <c r="C69" s="3"/>
      <c r="D69" s="3" t="s">
        <v>116</v>
      </c>
      <c r="E69" s="6"/>
      <c r="F69" s="10">
        <v>10870</v>
      </c>
      <c r="G69">
        <f t="shared" si="0"/>
        <v>3260</v>
      </c>
      <c r="H69" s="24">
        <f t="shared" si="1"/>
        <v>14130</v>
      </c>
    </row>
    <row r="70" spans="1:8" ht="15" x14ac:dyDescent="0.2">
      <c r="A70" s="8"/>
      <c r="B70" s="8"/>
      <c r="C70" s="3"/>
      <c r="D70" s="3" t="s">
        <v>117</v>
      </c>
      <c r="E70" s="6"/>
      <c r="F70" s="10">
        <v>12170</v>
      </c>
      <c r="G70">
        <f t="shared" si="0"/>
        <v>3650</v>
      </c>
      <c r="H70" s="24">
        <f t="shared" si="1"/>
        <v>15820</v>
      </c>
    </row>
    <row r="71" spans="1:8" ht="15" x14ac:dyDescent="0.2">
      <c r="A71" s="8"/>
      <c r="B71" s="8"/>
      <c r="C71" s="3"/>
      <c r="D71" s="23" t="s">
        <v>118</v>
      </c>
      <c r="E71" s="19"/>
      <c r="F71" s="6">
        <v>14490</v>
      </c>
      <c r="G71">
        <f t="shared" si="0"/>
        <v>4345</v>
      </c>
      <c r="H71" s="24">
        <f t="shared" si="1"/>
        <v>18835</v>
      </c>
    </row>
    <row r="72" spans="1:8" ht="15" x14ac:dyDescent="0.2">
      <c r="A72" s="8"/>
      <c r="B72" s="8"/>
      <c r="C72" s="3"/>
      <c r="D72" s="3" t="s">
        <v>119</v>
      </c>
      <c r="E72" s="6"/>
      <c r="F72" s="10">
        <v>24245</v>
      </c>
      <c r="G72">
        <f t="shared" si="0"/>
        <v>7275</v>
      </c>
      <c r="H72" s="24">
        <f t="shared" si="1"/>
        <v>31520</v>
      </c>
    </row>
    <row r="73" spans="1:8" ht="15" x14ac:dyDescent="0.2">
      <c r="A73" s="8"/>
      <c r="B73" s="8"/>
      <c r="C73" s="3"/>
      <c r="D73" s="23" t="s">
        <v>120</v>
      </c>
      <c r="E73" s="19"/>
      <c r="F73" s="6">
        <v>28980</v>
      </c>
      <c r="G73">
        <f t="shared" si="0"/>
        <v>8695</v>
      </c>
      <c r="H73" s="24">
        <f t="shared" si="1"/>
        <v>37675</v>
      </c>
    </row>
    <row r="74" spans="1:8" ht="15" x14ac:dyDescent="0.2">
      <c r="A74" s="8"/>
      <c r="B74" s="8"/>
      <c r="C74" s="3"/>
      <c r="D74" s="23" t="s">
        <v>121</v>
      </c>
      <c r="E74" s="19"/>
      <c r="F74" s="6">
        <v>12075</v>
      </c>
      <c r="G74">
        <f t="shared" si="0"/>
        <v>3625</v>
      </c>
      <c r="H74" s="24">
        <f t="shared" si="1"/>
        <v>15700</v>
      </c>
    </row>
    <row r="75" spans="1:8" ht="15" x14ac:dyDescent="0.2">
      <c r="A75" s="8"/>
      <c r="B75" s="8"/>
      <c r="C75" s="3"/>
      <c r="D75" s="23" t="s">
        <v>122</v>
      </c>
      <c r="E75" s="19"/>
      <c r="F75" s="6">
        <v>14490</v>
      </c>
      <c r="G75">
        <f t="shared" si="0"/>
        <v>4345</v>
      </c>
      <c r="H75" s="24">
        <f t="shared" si="1"/>
        <v>18835</v>
      </c>
    </row>
    <row r="76" spans="1:8" ht="15" x14ac:dyDescent="0.2">
      <c r="A76" s="8"/>
      <c r="B76" s="8"/>
      <c r="C76" s="3"/>
      <c r="D76" s="3" t="s">
        <v>123</v>
      </c>
      <c r="E76" s="6"/>
      <c r="F76" s="10">
        <v>4840</v>
      </c>
      <c r="G76">
        <f t="shared" si="0"/>
        <v>1450</v>
      </c>
      <c r="H76" s="24">
        <f t="shared" si="1"/>
        <v>6290</v>
      </c>
    </row>
    <row r="77" spans="1:8" ht="15" x14ac:dyDescent="0.2">
      <c r="A77" s="8"/>
      <c r="B77" s="8"/>
      <c r="C77" s="3"/>
      <c r="D77" s="3" t="s">
        <v>124</v>
      </c>
      <c r="E77" s="6"/>
      <c r="F77" s="10">
        <v>7440</v>
      </c>
      <c r="G77">
        <f t="shared" si="0"/>
        <v>2230</v>
      </c>
      <c r="H77" s="24">
        <f t="shared" si="1"/>
        <v>9670</v>
      </c>
    </row>
    <row r="78" spans="1:8" ht="15" x14ac:dyDescent="0.2">
      <c r="A78" s="8"/>
      <c r="B78" s="8"/>
      <c r="C78" s="3"/>
      <c r="D78" s="3" t="s">
        <v>125</v>
      </c>
      <c r="E78" s="6"/>
      <c r="F78" s="10">
        <v>6040</v>
      </c>
      <c r="G78">
        <f t="shared" ref="G78:G103" si="2">MROUND(F78*30%,5)</f>
        <v>1810</v>
      </c>
      <c r="H78" s="24">
        <f t="shared" ref="H78:H103" si="3">SUM(F78,G78)</f>
        <v>7850</v>
      </c>
    </row>
    <row r="79" spans="1:8" ht="15" x14ac:dyDescent="0.2">
      <c r="A79" s="8"/>
      <c r="B79" s="8"/>
      <c r="C79" s="3"/>
      <c r="D79" s="23" t="s">
        <v>126</v>
      </c>
      <c r="E79" s="19"/>
      <c r="F79" s="6">
        <v>8455</v>
      </c>
      <c r="G79">
        <f t="shared" si="2"/>
        <v>2535</v>
      </c>
      <c r="H79" s="24">
        <f t="shared" si="3"/>
        <v>10990</v>
      </c>
    </row>
    <row r="80" spans="1:8" ht="15" x14ac:dyDescent="0.2">
      <c r="A80" s="8"/>
      <c r="B80" s="8"/>
      <c r="C80" s="3"/>
      <c r="D80" s="3" t="s">
        <v>127</v>
      </c>
      <c r="E80" s="6"/>
      <c r="F80" s="10">
        <v>10870</v>
      </c>
      <c r="G80">
        <f t="shared" si="2"/>
        <v>3260</v>
      </c>
      <c r="H80" s="24">
        <f t="shared" si="3"/>
        <v>14130</v>
      </c>
    </row>
    <row r="81" spans="1:8" ht="15" x14ac:dyDescent="0.2">
      <c r="A81" s="8"/>
      <c r="B81" s="8"/>
      <c r="C81" s="3"/>
      <c r="D81" s="3" t="s">
        <v>128</v>
      </c>
      <c r="E81" s="6"/>
      <c r="F81" s="10">
        <v>12075</v>
      </c>
      <c r="G81">
        <f t="shared" si="2"/>
        <v>3625</v>
      </c>
      <c r="H81" s="24">
        <f t="shared" si="3"/>
        <v>15700</v>
      </c>
    </row>
    <row r="82" spans="1:8" ht="15" x14ac:dyDescent="0.2">
      <c r="A82" s="8"/>
      <c r="B82" s="8"/>
      <c r="C82" s="3"/>
      <c r="D82" s="3" t="s">
        <v>129</v>
      </c>
      <c r="E82" s="6"/>
      <c r="F82" s="10">
        <v>15700</v>
      </c>
      <c r="G82">
        <f t="shared" si="2"/>
        <v>4710</v>
      </c>
      <c r="H82" s="24">
        <f t="shared" si="3"/>
        <v>20410</v>
      </c>
    </row>
    <row r="83" spans="1:8" ht="15" x14ac:dyDescent="0.2">
      <c r="A83" s="8"/>
      <c r="B83" s="8"/>
      <c r="C83" s="3"/>
      <c r="D83" s="3" t="s">
        <v>130</v>
      </c>
      <c r="E83" s="6"/>
      <c r="F83" s="10">
        <v>19320</v>
      </c>
      <c r="G83">
        <f t="shared" si="2"/>
        <v>5795</v>
      </c>
      <c r="H83" s="24">
        <f t="shared" si="3"/>
        <v>25115</v>
      </c>
    </row>
    <row r="84" spans="1:8" ht="15" x14ac:dyDescent="0.2">
      <c r="A84" s="8"/>
      <c r="B84" s="8"/>
      <c r="C84" s="3"/>
      <c r="D84" s="23" t="s">
        <v>131</v>
      </c>
      <c r="E84" s="19"/>
      <c r="F84" s="6">
        <v>8450</v>
      </c>
      <c r="G84">
        <f t="shared" si="2"/>
        <v>2535</v>
      </c>
      <c r="H84" s="24">
        <f t="shared" si="3"/>
        <v>10985</v>
      </c>
    </row>
    <row r="85" spans="1:8" ht="15" x14ac:dyDescent="0.2">
      <c r="A85" s="8"/>
      <c r="B85" s="8"/>
      <c r="C85" s="3"/>
      <c r="D85" s="23" t="s">
        <v>132</v>
      </c>
      <c r="E85" s="19"/>
      <c r="F85" s="6">
        <v>10870</v>
      </c>
      <c r="G85">
        <f t="shared" si="2"/>
        <v>3260</v>
      </c>
      <c r="H85" s="24">
        <f t="shared" si="3"/>
        <v>14130</v>
      </c>
    </row>
    <row r="86" spans="1:8" ht="15" x14ac:dyDescent="0.2">
      <c r="A86" s="8"/>
      <c r="B86" s="8"/>
      <c r="C86" s="3"/>
      <c r="D86" s="23" t="s">
        <v>133</v>
      </c>
      <c r="E86" s="19"/>
      <c r="F86" s="6">
        <v>14490</v>
      </c>
      <c r="G86">
        <f t="shared" si="2"/>
        <v>4345</v>
      </c>
      <c r="H86" s="24">
        <f t="shared" si="3"/>
        <v>18835</v>
      </c>
    </row>
    <row r="87" spans="1:8" ht="15" x14ac:dyDescent="0.2">
      <c r="A87" s="8"/>
      <c r="B87" s="8"/>
      <c r="C87" s="3"/>
      <c r="D87" s="23" t="s">
        <v>134</v>
      </c>
      <c r="E87" s="19"/>
      <c r="F87" s="6">
        <v>4830</v>
      </c>
      <c r="G87">
        <f t="shared" si="2"/>
        <v>1450</v>
      </c>
      <c r="H87" s="24">
        <f t="shared" si="3"/>
        <v>6280</v>
      </c>
    </row>
    <row r="88" spans="1:8" ht="15" x14ac:dyDescent="0.2">
      <c r="A88" s="8"/>
      <c r="B88" s="8"/>
      <c r="C88" s="3"/>
      <c r="D88" s="23" t="s">
        <v>135</v>
      </c>
      <c r="E88" s="19"/>
      <c r="F88" s="6">
        <v>7245</v>
      </c>
      <c r="G88">
        <f t="shared" si="2"/>
        <v>2175</v>
      </c>
      <c r="H88" s="24">
        <f t="shared" si="3"/>
        <v>9420</v>
      </c>
    </row>
    <row r="89" spans="1:8" ht="15" x14ac:dyDescent="0.2">
      <c r="A89" s="8"/>
      <c r="B89" s="8"/>
      <c r="C89" s="3"/>
      <c r="D89" s="3" t="s">
        <v>136</v>
      </c>
      <c r="E89" s="6"/>
      <c r="F89" s="10">
        <v>10870</v>
      </c>
      <c r="G89">
        <f t="shared" si="2"/>
        <v>3260</v>
      </c>
      <c r="H89" s="24">
        <f t="shared" si="3"/>
        <v>14130</v>
      </c>
    </row>
    <row r="90" spans="1:8" ht="15" x14ac:dyDescent="0.2">
      <c r="A90" s="8"/>
      <c r="B90" s="8"/>
      <c r="C90" s="3"/>
      <c r="D90" s="3" t="s">
        <v>137</v>
      </c>
      <c r="E90" s="6"/>
      <c r="F90" s="10">
        <v>14490</v>
      </c>
      <c r="G90">
        <f t="shared" si="2"/>
        <v>4345</v>
      </c>
      <c r="H90" s="24">
        <f t="shared" si="3"/>
        <v>18835</v>
      </c>
    </row>
    <row r="91" spans="1:8" ht="15" x14ac:dyDescent="0.2">
      <c r="A91" s="8"/>
      <c r="B91" s="8"/>
      <c r="C91" s="3"/>
      <c r="D91" s="3" t="s">
        <v>138</v>
      </c>
      <c r="E91" s="6"/>
      <c r="F91" s="10">
        <v>18115</v>
      </c>
      <c r="G91">
        <f t="shared" si="2"/>
        <v>5435</v>
      </c>
      <c r="H91" s="24">
        <f t="shared" si="3"/>
        <v>23550</v>
      </c>
    </row>
    <row r="92" spans="1:8" ht="15" x14ac:dyDescent="0.2">
      <c r="A92" s="8"/>
      <c r="B92" s="8"/>
      <c r="C92" s="3"/>
      <c r="D92" s="3" t="s">
        <v>139</v>
      </c>
      <c r="E92" s="6"/>
      <c r="F92" s="10">
        <v>10870</v>
      </c>
      <c r="G92">
        <f t="shared" si="2"/>
        <v>3260</v>
      </c>
      <c r="H92" s="24">
        <f t="shared" si="3"/>
        <v>14130</v>
      </c>
    </row>
    <row r="93" spans="1:8" ht="15" x14ac:dyDescent="0.2">
      <c r="A93" s="8"/>
      <c r="B93" s="8"/>
      <c r="C93" s="3"/>
      <c r="D93" s="3" t="s">
        <v>140</v>
      </c>
      <c r="E93" s="6"/>
      <c r="F93" s="10">
        <v>14490</v>
      </c>
      <c r="G93">
        <f t="shared" si="2"/>
        <v>4345</v>
      </c>
      <c r="H93" s="24">
        <f t="shared" si="3"/>
        <v>18835</v>
      </c>
    </row>
    <row r="94" spans="1:8" ht="15" x14ac:dyDescent="0.2">
      <c r="A94" s="8"/>
      <c r="B94" s="8"/>
      <c r="C94" s="3"/>
      <c r="D94" s="3" t="s">
        <v>141</v>
      </c>
      <c r="E94" s="6"/>
      <c r="F94" s="10">
        <v>18115</v>
      </c>
      <c r="G94">
        <f t="shared" si="2"/>
        <v>5435</v>
      </c>
      <c r="H94" s="24">
        <f t="shared" si="3"/>
        <v>23550</v>
      </c>
    </row>
    <row r="95" spans="1:8" ht="15" x14ac:dyDescent="0.2">
      <c r="A95" s="8"/>
      <c r="B95" s="8"/>
      <c r="C95" s="3"/>
      <c r="D95" s="3" t="s">
        <v>142</v>
      </c>
      <c r="E95" s="6"/>
      <c r="F95" s="10">
        <v>7245</v>
      </c>
      <c r="G95">
        <f t="shared" si="2"/>
        <v>2175</v>
      </c>
      <c r="H95" s="24">
        <f t="shared" si="3"/>
        <v>9420</v>
      </c>
    </row>
    <row r="96" spans="1:8" ht="15" x14ac:dyDescent="0.2">
      <c r="A96" s="8"/>
      <c r="B96" s="8"/>
      <c r="C96" s="3"/>
      <c r="D96" s="3" t="s">
        <v>143</v>
      </c>
      <c r="E96" s="6"/>
      <c r="F96" s="10">
        <v>9660</v>
      </c>
      <c r="G96">
        <f t="shared" si="2"/>
        <v>2900</v>
      </c>
      <c r="H96" s="24">
        <f t="shared" si="3"/>
        <v>12560</v>
      </c>
    </row>
    <row r="97" spans="1:8" ht="15" x14ac:dyDescent="0.2">
      <c r="A97" s="8"/>
      <c r="B97" s="8"/>
      <c r="C97" s="3"/>
      <c r="D97" s="3" t="s">
        <v>144</v>
      </c>
      <c r="E97" s="6"/>
      <c r="F97" s="10">
        <v>12075</v>
      </c>
      <c r="G97">
        <f t="shared" si="2"/>
        <v>3625</v>
      </c>
      <c r="H97" s="24">
        <f t="shared" si="3"/>
        <v>15700</v>
      </c>
    </row>
    <row r="98" spans="1:8" ht="15" x14ac:dyDescent="0.2">
      <c r="A98" s="8"/>
      <c r="B98" s="8"/>
      <c r="C98" s="3"/>
      <c r="D98" s="3" t="s">
        <v>145</v>
      </c>
      <c r="E98" s="6"/>
      <c r="F98" s="10">
        <v>12075</v>
      </c>
      <c r="G98">
        <f t="shared" si="2"/>
        <v>3625</v>
      </c>
      <c r="H98" s="24">
        <f t="shared" si="3"/>
        <v>15700</v>
      </c>
    </row>
    <row r="99" spans="1:8" ht="15" x14ac:dyDescent="0.2">
      <c r="A99" s="8"/>
      <c r="B99" s="8"/>
      <c r="C99" s="3"/>
      <c r="D99" s="3" t="s">
        <v>146</v>
      </c>
      <c r="E99" s="6"/>
      <c r="F99" s="10">
        <v>18115</v>
      </c>
      <c r="G99">
        <f t="shared" si="2"/>
        <v>5435</v>
      </c>
      <c r="H99" s="24">
        <f t="shared" si="3"/>
        <v>23550</v>
      </c>
    </row>
    <row r="100" spans="1:8" ht="15" x14ac:dyDescent="0.2">
      <c r="A100" s="8"/>
      <c r="B100" s="8"/>
      <c r="C100" s="3"/>
      <c r="D100" s="3" t="s">
        <v>147</v>
      </c>
      <c r="E100" s="6"/>
      <c r="F100" s="10">
        <v>24450</v>
      </c>
      <c r="G100">
        <f t="shared" si="2"/>
        <v>7335</v>
      </c>
      <c r="H100" s="24">
        <f t="shared" si="3"/>
        <v>31785</v>
      </c>
    </row>
    <row r="101" spans="1:8" ht="15" x14ac:dyDescent="0.2">
      <c r="A101" s="8"/>
      <c r="B101" s="8"/>
      <c r="C101" s="3"/>
      <c r="D101" s="23" t="s">
        <v>148</v>
      </c>
      <c r="E101" s="19"/>
      <c r="F101" s="6">
        <v>12075</v>
      </c>
      <c r="G101">
        <f t="shared" si="2"/>
        <v>3625</v>
      </c>
      <c r="H101" s="24">
        <f t="shared" si="3"/>
        <v>15700</v>
      </c>
    </row>
    <row r="102" spans="1:8" ht="15" x14ac:dyDescent="0.2">
      <c r="A102" s="8"/>
      <c r="B102" s="8"/>
      <c r="C102" s="3"/>
      <c r="D102" s="23" t="s">
        <v>149</v>
      </c>
      <c r="E102" s="19"/>
      <c r="F102" s="6">
        <v>18115</v>
      </c>
      <c r="G102">
        <f t="shared" si="2"/>
        <v>5435</v>
      </c>
      <c r="H102" s="24">
        <f t="shared" si="3"/>
        <v>23550</v>
      </c>
    </row>
    <row r="103" spans="1:8" ht="15" x14ac:dyDescent="0.2">
      <c r="A103" s="8"/>
      <c r="B103" s="8"/>
      <c r="C103" s="3"/>
      <c r="D103" s="23" t="s">
        <v>150</v>
      </c>
      <c r="E103" s="19"/>
      <c r="F103" s="6">
        <v>24150</v>
      </c>
      <c r="G103">
        <f t="shared" si="2"/>
        <v>7245</v>
      </c>
      <c r="H103" s="24">
        <f t="shared" si="3"/>
        <v>31395</v>
      </c>
    </row>
    <row r="104" spans="1:8" ht="15" x14ac:dyDescent="0.2">
      <c r="A104" s="8"/>
      <c r="B104" s="8"/>
      <c r="C104" s="3"/>
      <c r="D104" s="3"/>
      <c r="E104" s="3"/>
      <c r="F104" s="3"/>
    </row>
  </sheetData>
  <mergeCells count="47">
    <mergeCell ref="A2:G2"/>
    <mergeCell ref="A3:H3"/>
    <mergeCell ref="A4:G4"/>
    <mergeCell ref="A6:B6"/>
    <mergeCell ref="A8:C8"/>
    <mergeCell ref="A9:B9"/>
    <mergeCell ref="D24:E24"/>
    <mergeCell ref="A23:B23"/>
    <mergeCell ref="A27:B27"/>
    <mergeCell ref="D32:E32"/>
    <mergeCell ref="D36:E36"/>
    <mergeCell ref="D38:E38"/>
    <mergeCell ref="D40:E40"/>
    <mergeCell ref="D43:E43"/>
    <mergeCell ref="D44:E44"/>
    <mergeCell ref="D45:E45"/>
    <mergeCell ref="D46:E46"/>
    <mergeCell ref="D47:E47"/>
    <mergeCell ref="D48:E48"/>
    <mergeCell ref="D51:E51"/>
    <mergeCell ref="D52:E52"/>
    <mergeCell ref="D53:E53"/>
    <mergeCell ref="D54:E54"/>
    <mergeCell ref="D57:E57"/>
    <mergeCell ref="D59:E59"/>
    <mergeCell ref="D73:E73"/>
    <mergeCell ref="D60:E60"/>
    <mergeCell ref="D61:E61"/>
    <mergeCell ref="D62:E62"/>
    <mergeCell ref="D63:E63"/>
    <mergeCell ref="D64:E64"/>
    <mergeCell ref="G10:H10"/>
    <mergeCell ref="D88:E88"/>
    <mergeCell ref="D101:E101"/>
    <mergeCell ref="D102:E102"/>
    <mergeCell ref="D103:E103"/>
    <mergeCell ref="D74:E74"/>
    <mergeCell ref="D75:E75"/>
    <mergeCell ref="D79:E79"/>
    <mergeCell ref="D84:E84"/>
    <mergeCell ref="D85:E85"/>
    <mergeCell ref="D86:E86"/>
    <mergeCell ref="D87:E87"/>
    <mergeCell ref="D65:E65"/>
    <mergeCell ref="D66:E66"/>
    <mergeCell ref="D67:E67"/>
    <mergeCell ref="D71:E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H141"/>
  <sheetViews>
    <sheetView workbookViewId="0">
      <selection activeCell="J37" sqref="J37"/>
    </sheetView>
  </sheetViews>
  <sheetFormatPr baseColWidth="10" defaultColWidth="12.6640625" defaultRowHeight="15.75" customHeight="1" x14ac:dyDescent="0.15"/>
  <cols>
    <col min="8" max="8" width="26.1640625" bestFit="1" customWidth="1"/>
  </cols>
  <sheetData>
    <row r="2" spans="1:8" ht="15.75" customHeight="1" x14ac:dyDescent="0.25">
      <c r="A2" s="18" t="s">
        <v>151</v>
      </c>
      <c r="B2" s="19"/>
      <c r="C2" s="19"/>
      <c r="D2" s="19"/>
      <c r="E2" s="19"/>
      <c r="F2" s="1"/>
      <c r="G2" s="1"/>
    </row>
    <row r="3" spans="1:8" ht="15.75" customHeight="1" x14ac:dyDescent="0.25">
      <c r="A3" s="18" t="s">
        <v>63</v>
      </c>
      <c r="B3" s="19"/>
      <c r="C3" s="19"/>
      <c r="D3" s="19"/>
      <c r="E3" s="19"/>
      <c r="F3" s="1"/>
      <c r="G3" s="1"/>
    </row>
    <row r="4" spans="1:8" ht="15.75" customHeight="1" x14ac:dyDescent="0.25">
      <c r="A4" s="18" t="s">
        <v>152</v>
      </c>
      <c r="B4" s="19"/>
      <c r="C4" s="19"/>
      <c r="D4" s="19"/>
      <c r="E4" s="19"/>
      <c r="F4" s="1"/>
      <c r="G4" s="1"/>
    </row>
    <row r="5" spans="1:8" ht="15" x14ac:dyDescent="0.2">
      <c r="A5" s="3"/>
      <c r="B5" s="3"/>
      <c r="C5" s="3"/>
      <c r="D5" s="3"/>
      <c r="E5" s="11"/>
      <c r="F5" s="3"/>
      <c r="G5" s="3"/>
    </row>
    <row r="6" spans="1:8" ht="16" x14ac:dyDescent="0.2">
      <c r="A6" s="22" t="s">
        <v>65</v>
      </c>
      <c r="B6" s="19"/>
      <c r="C6" s="2"/>
      <c r="D6" s="2"/>
      <c r="E6" s="12"/>
      <c r="F6" s="2"/>
      <c r="G6" s="2"/>
    </row>
    <row r="7" spans="1:8" ht="15" x14ac:dyDescent="0.2">
      <c r="A7" s="3"/>
      <c r="B7" s="3"/>
      <c r="C7" s="3"/>
      <c r="D7" s="3"/>
      <c r="E7" s="11"/>
      <c r="F7" s="3"/>
      <c r="G7" s="3"/>
    </row>
    <row r="8" spans="1:8" ht="15" x14ac:dyDescent="0.2">
      <c r="A8" s="20" t="s">
        <v>66</v>
      </c>
      <c r="B8" s="19"/>
      <c r="C8" s="8"/>
      <c r="D8" s="8"/>
      <c r="E8" s="9"/>
      <c r="F8" s="8"/>
      <c r="G8" s="8"/>
    </row>
    <row r="9" spans="1:8" ht="15" x14ac:dyDescent="0.2">
      <c r="A9" s="8" t="s">
        <v>67</v>
      </c>
      <c r="B9" s="8"/>
      <c r="C9" s="8"/>
      <c r="D9" s="8"/>
      <c r="E9" s="9"/>
      <c r="F9" s="8"/>
      <c r="G9" s="8"/>
    </row>
    <row r="10" spans="1:8" ht="15" x14ac:dyDescent="0.2">
      <c r="A10" s="3"/>
      <c r="B10" s="3"/>
      <c r="C10" s="3"/>
      <c r="D10" s="3"/>
      <c r="E10" s="11"/>
      <c r="F10" s="3"/>
      <c r="G10" s="21" t="s">
        <v>241</v>
      </c>
      <c r="H10" s="21"/>
    </row>
    <row r="11" spans="1:8" ht="15" x14ac:dyDescent="0.2">
      <c r="A11" s="8" t="s">
        <v>68</v>
      </c>
      <c r="B11" s="8"/>
      <c r="C11" s="8"/>
      <c r="D11" s="9" t="s">
        <v>69</v>
      </c>
      <c r="E11" s="9"/>
      <c r="F11" s="8" t="s">
        <v>5</v>
      </c>
      <c r="G11" s="13" t="s">
        <v>240</v>
      </c>
      <c r="H11" s="16" t="s">
        <v>242</v>
      </c>
    </row>
    <row r="12" spans="1:8" ht="15" x14ac:dyDescent="0.2">
      <c r="A12" s="8" t="s">
        <v>70</v>
      </c>
      <c r="B12" s="8" t="s">
        <v>71</v>
      </c>
      <c r="C12" s="8"/>
      <c r="D12" s="8" t="s">
        <v>4</v>
      </c>
      <c r="E12" s="9"/>
      <c r="F12" s="8"/>
      <c r="G12" s="8"/>
      <c r="H12" s="17"/>
    </row>
    <row r="13" spans="1:8" ht="15" x14ac:dyDescent="0.2">
      <c r="A13" s="8" t="s">
        <v>153</v>
      </c>
      <c r="B13" s="8" t="s">
        <v>154</v>
      </c>
      <c r="C13" s="3"/>
      <c r="D13" s="3" t="s">
        <v>74</v>
      </c>
      <c r="E13" s="11"/>
      <c r="F13" s="3">
        <v>510</v>
      </c>
      <c r="G13" s="3">
        <f>MROUND(F13*30%,5)</f>
        <v>155</v>
      </c>
      <c r="H13" s="24">
        <f>SUM(F13,G13)</f>
        <v>665</v>
      </c>
    </row>
    <row r="14" spans="1:8" ht="15" x14ac:dyDescent="0.2">
      <c r="A14" s="3"/>
      <c r="B14" s="3"/>
      <c r="C14" s="3"/>
      <c r="D14" s="3" t="s">
        <v>8</v>
      </c>
      <c r="E14" s="11"/>
      <c r="F14" s="3">
        <v>405</v>
      </c>
      <c r="G14" s="3">
        <f t="shared" ref="G14:G77" si="0">MROUND(F14*30%,5)</f>
        <v>120</v>
      </c>
      <c r="H14" s="24">
        <f t="shared" ref="H14:H81" si="1">SUM(F14,G14)</f>
        <v>525</v>
      </c>
    </row>
    <row r="15" spans="1:8" ht="15" x14ac:dyDescent="0.2">
      <c r="A15" s="3"/>
      <c r="B15" s="3"/>
      <c r="C15" s="3"/>
      <c r="D15" s="3" t="s">
        <v>75</v>
      </c>
      <c r="E15" s="11"/>
      <c r="F15" s="3">
        <v>360</v>
      </c>
      <c r="G15" s="3">
        <f t="shared" si="0"/>
        <v>110</v>
      </c>
      <c r="H15" s="24">
        <f t="shared" si="1"/>
        <v>470</v>
      </c>
    </row>
    <row r="16" spans="1:8" ht="15" x14ac:dyDescent="0.2">
      <c r="A16" s="3"/>
      <c r="B16" s="3"/>
      <c r="C16" s="3"/>
      <c r="D16" s="3" t="s">
        <v>76</v>
      </c>
      <c r="E16" s="11"/>
      <c r="F16" s="3">
        <v>255</v>
      </c>
      <c r="G16" s="3">
        <f t="shared" si="0"/>
        <v>75</v>
      </c>
      <c r="H16" s="24">
        <f t="shared" si="1"/>
        <v>330</v>
      </c>
    </row>
    <row r="17" spans="1:8" ht="15" x14ac:dyDescent="0.2">
      <c r="A17" s="3"/>
      <c r="B17" s="3"/>
      <c r="C17" s="3"/>
      <c r="D17" s="3"/>
      <c r="E17" s="11"/>
      <c r="F17" s="3" t="s">
        <v>90</v>
      </c>
      <c r="G17" s="3"/>
      <c r="H17" s="24"/>
    </row>
    <row r="18" spans="1:8" ht="15" x14ac:dyDescent="0.2">
      <c r="A18" s="3"/>
      <c r="B18" s="3"/>
      <c r="C18" s="3"/>
      <c r="D18" s="3" t="s">
        <v>77</v>
      </c>
      <c r="E18" s="11"/>
      <c r="F18" s="3">
        <v>450</v>
      </c>
      <c r="G18" s="3">
        <f t="shared" si="0"/>
        <v>135</v>
      </c>
      <c r="H18" s="24">
        <f t="shared" si="1"/>
        <v>585</v>
      </c>
    </row>
    <row r="19" spans="1:8" ht="15" x14ac:dyDescent="0.2">
      <c r="A19" s="3"/>
      <c r="B19" s="3"/>
      <c r="C19" s="3"/>
      <c r="D19" s="3" t="s">
        <v>78</v>
      </c>
      <c r="E19" s="11"/>
      <c r="F19" s="3">
        <v>360</v>
      </c>
      <c r="G19" s="3">
        <f t="shared" si="0"/>
        <v>110</v>
      </c>
      <c r="H19" s="24">
        <f t="shared" si="1"/>
        <v>470</v>
      </c>
    </row>
    <row r="20" spans="1:8" ht="15" x14ac:dyDescent="0.2">
      <c r="A20" s="3"/>
      <c r="B20" s="3"/>
      <c r="C20" s="3"/>
      <c r="D20" s="3" t="s">
        <v>79</v>
      </c>
      <c r="E20" s="11"/>
      <c r="F20" s="3">
        <v>320</v>
      </c>
      <c r="G20" s="3">
        <f t="shared" si="0"/>
        <v>95</v>
      </c>
      <c r="H20" s="24">
        <f t="shared" si="1"/>
        <v>415</v>
      </c>
    </row>
    <row r="21" spans="1:8" ht="15" x14ac:dyDescent="0.2">
      <c r="A21" s="3"/>
      <c r="B21" s="3"/>
      <c r="C21" s="3"/>
      <c r="D21" s="3" t="s">
        <v>80</v>
      </c>
      <c r="E21" s="11"/>
      <c r="F21" s="3">
        <v>225</v>
      </c>
      <c r="G21" s="3">
        <f t="shared" si="0"/>
        <v>70</v>
      </c>
      <c r="H21" s="24">
        <f t="shared" si="1"/>
        <v>295</v>
      </c>
    </row>
    <row r="22" spans="1:8" ht="15" x14ac:dyDescent="0.2">
      <c r="A22" s="3"/>
      <c r="B22" s="3"/>
      <c r="C22" s="3"/>
      <c r="D22" s="3"/>
      <c r="E22" s="11"/>
      <c r="F22" s="3"/>
      <c r="G22" s="3">
        <f t="shared" si="0"/>
        <v>0</v>
      </c>
      <c r="H22" s="24"/>
    </row>
    <row r="23" spans="1:8" ht="15" x14ac:dyDescent="0.2">
      <c r="A23" s="20" t="s">
        <v>15</v>
      </c>
      <c r="B23" s="19"/>
      <c r="C23" s="8"/>
      <c r="D23" s="8"/>
      <c r="E23" s="9"/>
      <c r="F23" s="3"/>
      <c r="G23" s="3">
        <f t="shared" si="0"/>
        <v>0</v>
      </c>
      <c r="H23" s="24"/>
    </row>
    <row r="24" spans="1:8" ht="15" x14ac:dyDescent="0.2">
      <c r="A24" s="8" t="s">
        <v>70</v>
      </c>
      <c r="B24" s="8" t="s">
        <v>71</v>
      </c>
      <c r="C24" s="8"/>
      <c r="D24" s="9"/>
      <c r="E24" s="9"/>
      <c r="F24" s="15" t="s">
        <v>16</v>
      </c>
      <c r="G24" s="3"/>
      <c r="H24" s="24"/>
    </row>
    <row r="25" spans="1:8" ht="15" x14ac:dyDescent="0.2">
      <c r="A25" s="8" t="s">
        <v>153</v>
      </c>
      <c r="B25" s="8" t="s">
        <v>154</v>
      </c>
      <c r="C25" s="3"/>
      <c r="D25" s="3"/>
      <c r="E25" s="11"/>
      <c r="F25" s="3">
        <v>250</v>
      </c>
      <c r="G25" s="3">
        <f t="shared" si="0"/>
        <v>75</v>
      </c>
      <c r="H25" s="24">
        <f t="shared" si="1"/>
        <v>325</v>
      </c>
    </row>
    <row r="26" spans="1:8" ht="15" x14ac:dyDescent="0.2">
      <c r="A26" s="8"/>
      <c r="B26" s="8"/>
      <c r="C26" s="3"/>
      <c r="D26" s="3"/>
      <c r="E26" s="11"/>
      <c r="F26" s="15" t="s">
        <v>17</v>
      </c>
      <c r="G26" s="3"/>
      <c r="H26" s="24"/>
    </row>
    <row r="27" spans="1:8" ht="15" x14ac:dyDescent="0.2">
      <c r="A27" s="8"/>
      <c r="B27" s="8"/>
      <c r="C27" s="3"/>
      <c r="D27" s="3"/>
      <c r="E27" s="11"/>
      <c r="F27" s="5">
        <v>40</v>
      </c>
      <c r="G27" s="3">
        <f t="shared" si="0"/>
        <v>10</v>
      </c>
      <c r="H27" s="24">
        <f t="shared" si="1"/>
        <v>50</v>
      </c>
    </row>
    <row r="28" spans="1:8" ht="15" x14ac:dyDescent="0.2">
      <c r="A28" s="8"/>
      <c r="B28" s="8"/>
      <c r="C28" s="3"/>
      <c r="D28" s="3"/>
      <c r="E28" s="11"/>
      <c r="F28" s="8" t="s">
        <v>18</v>
      </c>
      <c r="G28" s="3"/>
      <c r="H28" s="24"/>
    </row>
    <row r="29" spans="1:8" ht="15" x14ac:dyDescent="0.2">
      <c r="A29" s="3"/>
      <c r="B29" s="3"/>
      <c r="C29" s="3"/>
      <c r="D29" s="3"/>
      <c r="E29" s="11"/>
      <c r="F29" s="5">
        <v>20</v>
      </c>
      <c r="G29" s="3">
        <f t="shared" si="0"/>
        <v>5</v>
      </c>
      <c r="H29" s="24">
        <f t="shared" si="1"/>
        <v>25</v>
      </c>
    </row>
    <row r="30" spans="1:8" ht="15" x14ac:dyDescent="0.2">
      <c r="A30" s="3"/>
      <c r="B30" s="3"/>
      <c r="C30" s="3"/>
      <c r="D30" s="3"/>
      <c r="E30" s="11"/>
      <c r="F30" s="5"/>
      <c r="G30" s="3"/>
      <c r="H30" s="24"/>
    </row>
    <row r="31" spans="1:8" ht="15" x14ac:dyDescent="0.2">
      <c r="A31" s="8" t="s">
        <v>81</v>
      </c>
      <c r="B31" s="8"/>
      <c r="C31" s="3"/>
      <c r="D31" s="3"/>
      <c r="E31" s="11"/>
      <c r="F31" s="3"/>
      <c r="G31" s="3"/>
      <c r="H31" s="24"/>
    </row>
    <row r="32" spans="1:8" ht="15" x14ac:dyDescent="0.2">
      <c r="A32" s="8" t="s">
        <v>68</v>
      </c>
      <c r="B32" s="8"/>
      <c r="C32" s="3"/>
      <c r="D32" s="3"/>
      <c r="E32" s="11"/>
      <c r="F32" s="5"/>
      <c r="G32" s="3"/>
      <c r="H32" s="24"/>
    </row>
    <row r="33" spans="1:8" ht="15" x14ac:dyDescent="0.2">
      <c r="A33" s="8"/>
      <c r="B33" s="8"/>
      <c r="C33" s="3"/>
      <c r="D33" s="3"/>
      <c r="E33" s="11"/>
      <c r="F33" s="3"/>
      <c r="G33" s="3"/>
      <c r="H33" s="24"/>
    </row>
    <row r="34" spans="1:8" ht="15" x14ac:dyDescent="0.2">
      <c r="A34" s="8" t="s">
        <v>70</v>
      </c>
      <c r="B34" s="8" t="s">
        <v>71</v>
      </c>
      <c r="C34" s="3"/>
      <c r="D34" s="8" t="s">
        <v>20</v>
      </c>
      <c r="E34" s="9"/>
      <c r="F34" s="8"/>
      <c r="G34" s="3"/>
      <c r="H34" s="24"/>
    </row>
    <row r="35" spans="1:8" ht="15" x14ac:dyDescent="0.2">
      <c r="A35" s="8" t="s">
        <v>153</v>
      </c>
      <c r="B35" s="8" t="s">
        <v>154</v>
      </c>
      <c r="C35" s="3"/>
      <c r="D35" s="3" t="s">
        <v>21</v>
      </c>
      <c r="E35" s="11"/>
      <c r="F35" s="3">
        <v>644</v>
      </c>
      <c r="G35" s="3">
        <f t="shared" si="0"/>
        <v>195</v>
      </c>
      <c r="H35" s="24">
        <f t="shared" si="1"/>
        <v>839</v>
      </c>
    </row>
    <row r="36" spans="1:8" ht="15" x14ac:dyDescent="0.2">
      <c r="A36" s="8"/>
      <c r="B36" s="8"/>
      <c r="C36" s="3"/>
      <c r="D36" s="3" t="s">
        <v>155</v>
      </c>
      <c r="E36" s="11"/>
      <c r="F36" s="3">
        <v>765</v>
      </c>
      <c r="G36" s="3">
        <f t="shared" si="0"/>
        <v>230</v>
      </c>
      <c r="H36" s="24">
        <f t="shared" si="1"/>
        <v>995</v>
      </c>
    </row>
    <row r="37" spans="1:8" ht="15" x14ac:dyDescent="0.2">
      <c r="A37" s="8"/>
      <c r="B37" s="8"/>
      <c r="C37" s="3"/>
      <c r="D37" s="23" t="s">
        <v>82</v>
      </c>
      <c r="E37" s="19"/>
      <c r="F37" s="6">
        <v>880</v>
      </c>
      <c r="G37" s="3">
        <f t="shared" si="0"/>
        <v>265</v>
      </c>
      <c r="H37" s="24">
        <f t="shared" si="1"/>
        <v>1145</v>
      </c>
    </row>
    <row r="38" spans="1:8" ht="15" x14ac:dyDescent="0.2">
      <c r="A38" s="8"/>
      <c r="B38" s="8"/>
      <c r="C38" s="3"/>
      <c r="D38" s="3" t="s">
        <v>83</v>
      </c>
      <c r="E38" s="11"/>
      <c r="F38" s="6">
        <v>1725</v>
      </c>
      <c r="G38" s="3">
        <f t="shared" si="0"/>
        <v>520</v>
      </c>
      <c r="H38" s="24">
        <f t="shared" si="1"/>
        <v>2245</v>
      </c>
    </row>
    <row r="39" spans="1:8" ht="15" x14ac:dyDescent="0.2">
      <c r="A39" s="8"/>
      <c r="B39" s="8"/>
      <c r="C39" s="3"/>
      <c r="D39" s="3" t="s">
        <v>23</v>
      </c>
      <c r="E39" s="11"/>
      <c r="F39" s="6">
        <v>2000</v>
      </c>
      <c r="G39" s="3">
        <f t="shared" si="0"/>
        <v>600</v>
      </c>
      <c r="H39" s="24">
        <f t="shared" si="1"/>
        <v>2600</v>
      </c>
    </row>
    <row r="40" spans="1:8" ht="15" x14ac:dyDescent="0.2">
      <c r="A40" s="8"/>
      <c r="B40" s="8"/>
      <c r="C40" s="3"/>
      <c r="D40" s="3" t="s">
        <v>84</v>
      </c>
      <c r="E40" s="11"/>
      <c r="F40" s="6">
        <v>1955</v>
      </c>
      <c r="G40" s="3">
        <f t="shared" si="0"/>
        <v>585</v>
      </c>
      <c r="H40" s="24">
        <f t="shared" si="1"/>
        <v>2540</v>
      </c>
    </row>
    <row r="41" spans="1:8" ht="15" x14ac:dyDescent="0.2">
      <c r="A41" s="8"/>
      <c r="B41" s="8"/>
      <c r="C41" s="3"/>
      <c r="D41" s="23" t="s">
        <v>85</v>
      </c>
      <c r="E41" s="19"/>
      <c r="F41" s="6">
        <v>6300</v>
      </c>
      <c r="G41" s="3">
        <f t="shared" si="0"/>
        <v>1890</v>
      </c>
      <c r="H41" s="24">
        <f t="shared" si="1"/>
        <v>8190</v>
      </c>
    </row>
    <row r="42" spans="1:8" ht="15" x14ac:dyDescent="0.2">
      <c r="A42" s="8"/>
      <c r="B42" s="8"/>
      <c r="C42" s="3"/>
      <c r="D42" s="23" t="s">
        <v>87</v>
      </c>
      <c r="E42" s="19"/>
      <c r="F42" s="6">
        <v>5050</v>
      </c>
      <c r="G42" s="3">
        <f t="shared" si="0"/>
        <v>1515</v>
      </c>
      <c r="H42" s="24">
        <f t="shared" si="1"/>
        <v>6565</v>
      </c>
    </row>
    <row r="43" spans="1:8" ht="15" x14ac:dyDescent="0.2">
      <c r="A43" s="8"/>
      <c r="B43" s="8"/>
      <c r="C43" s="3"/>
      <c r="D43" s="23" t="s">
        <v>156</v>
      </c>
      <c r="E43" s="19"/>
      <c r="F43" s="6">
        <v>3365</v>
      </c>
      <c r="G43" s="3">
        <f t="shared" si="0"/>
        <v>1010</v>
      </c>
      <c r="H43" s="24">
        <f t="shared" si="1"/>
        <v>4375</v>
      </c>
    </row>
    <row r="44" spans="1:8" ht="15" x14ac:dyDescent="0.2">
      <c r="A44" s="8"/>
      <c r="B44" s="8"/>
      <c r="C44" s="3"/>
      <c r="D44" s="23" t="s">
        <v>157</v>
      </c>
      <c r="E44" s="19"/>
      <c r="F44" s="6">
        <v>3590</v>
      </c>
      <c r="G44" s="3">
        <f t="shared" si="0"/>
        <v>1075</v>
      </c>
      <c r="H44" s="24">
        <f t="shared" si="1"/>
        <v>4665</v>
      </c>
    </row>
    <row r="45" spans="1:8" ht="15" x14ac:dyDescent="0.2">
      <c r="A45" s="8"/>
      <c r="B45" s="8"/>
      <c r="C45" s="3"/>
      <c r="D45" s="3"/>
      <c r="E45" s="11"/>
      <c r="F45" s="3" t="s">
        <v>90</v>
      </c>
      <c r="G45" s="3"/>
      <c r="H45" s="24"/>
    </row>
    <row r="46" spans="1:8" ht="15" x14ac:dyDescent="0.2">
      <c r="A46" s="8" t="s">
        <v>153</v>
      </c>
      <c r="B46" s="8" t="s">
        <v>154</v>
      </c>
      <c r="C46" s="3"/>
      <c r="D46" s="3" t="s">
        <v>158</v>
      </c>
      <c r="E46" s="11"/>
      <c r="F46" s="6">
        <v>3390</v>
      </c>
      <c r="G46" s="3">
        <f t="shared" si="0"/>
        <v>1015</v>
      </c>
      <c r="H46" s="24">
        <f t="shared" si="1"/>
        <v>4405</v>
      </c>
    </row>
    <row r="47" spans="1:8" ht="15" x14ac:dyDescent="0.2">
      <c r="A47" s="8"/>
      <c r="B47" s="8"/>
      <c r="C47" s="3"/>
      <c r="D47" s="23" t="s">
        <v>159</v>
      </c>
      <c r="E47" s="19"/>
      <c r="F47" s="6">
        <v>3640</v>
      </c>
      <c r="G47" s="3">
        <f t="shared" si="0"/>
        <v>1090</v>
      </c>
      <c r="H47" s="24">
        <f t="shared" si="1"/>
        <v>4730</v>
      </c>
    </row>
    <row r="48" spans="1:8" ht="15" x14ac:dyDescent="0.2">
      <c r="A48" s="8"/>
      <c r="B48" s="8"/>
      <c r="C48" s="3"/>
      <c r="D48" s="23" t="s">
        <v>160</v>
      </c>
      <c r="E48" s="19"/>
      <c r="F48" s="6">
        <v>3895</v>
      </c>
      <c r="G48" s="3">
        <f t="shared" si="0"/>
        <v>1170</v>
      </c>
      <c r="H48" s="24">
        <f t="shared" si="1"/>
        <v>5065</v>
      </c>
    </row>
    <row r="49" spans="1:8" ht="15" x14ac:dyDescent="0.2">
      <c r="A49" s="8"/>
      <c r="B49" s="8"/>
      <c r="C49" s="3"/>
      <c r="D49" s="3"/>
      <c r="E49" s="11"/>
      <c r="F49" s="3" t="s">
        <v>90</v>
      </c>
      <c r="G49" s="3"/>
      <c r="H49" s="24"/>
    </row>
    <row r="50" spans="1:8" ht="15" x14ac:dyDescent="0.2">
      <c r="A50" s="8" t="s">
        <v>153</v>
      </c>
      <c r="B50" s="8" t="s">
        <v>154</v>
      </c>
      <c r="C50" s="3"/>
      <c r="D50" s="23" t="s">
        <v>91</v>
      </c>
      <c r="E50" s="19"/>
      <c r="F50" s="6">
        <v>3895</v>
      </c>
      <c r="G50" s="3">
        <f t="shared" si="0"/>
        <v>1170</v>
      </c>
      <c r="H50" s="24">
        <f t="shared" si="1"/>
        <v>5065</v>
      </c>
    </row>
    <row r="51" spans="1:8" ht="15" x14ac:dyDescent="0.2">
      <c r="A51" s="8"/>
      <c r="B51" s="8"/>
      <c r="C51" s="3"/>
      <c r="D51" s="23" t="s">
        <v>92</v>
      </c>
      <c r="E51" s="19"/>
      <c r="F51" s="6">
        <v>5055</v>
      </c>
      <c r="G51" s="3">
        <f t="shared" si="0"/>
        <v>1515</v>
      </c>
      <c r="H51" s="24">
        <f t="shared" si="1"/>
        <v>6570</v>
      </c>
    </row>
    <row r="52" spans="1:8" ht="15" x14ac:dyDescent="0.2">
      <c r="A52" s="8"/>
      <c r="B52" s="8"/>
      <c r="C52" s="3"/>
      <c r="D52" s="23" t="s">
        <v>161</v>
      </c>
      <c r="E52" s="19"/>
      <c r="F52" s="6">
        <v>3985</v>
      </c>
      <c r="G52" s="3">
        <f t="shared" si="0"/>
        <v>1195</v>
      </c>
      <c r="H52" s="24">
        <f t="shared" si="1"/>
        <v>5180</v>
      </c>
    </row>
    <row r="53" spans="1:8" ht="15" x14ac:dyDescent="0.2">
      <c r="A53" s="8"/>
      <c r="B53" s="8"/>
      <c r="C53" s="3"/>
      <c r="D53" s="23" t="s">
        <v>162</v>
      </c>
      <c r="E53" s="19"/>
      <c r="F53" s="6">
        <v>6065</v>
      </c>
      <c r="G53" s="3">
        <f t="shared" si="0"/>
        <v>1820</v>
      </c>
      <c r="H53" s="24">
        <f t="shared" si="1"/>
        <v>7885</v>
      </c>
    </row>
    <row r="54" spans="1:8" ht="15" x14ac:dyDescent="0.2">
      <c r="A54" s="8"/>
      <c r="B54" s="8"/>
      <c r="C54" s="3"/>
      <c r="D54" s="23" t="s">
        <v>163</v>
      </c>
      <c r="E54" s="19"/>
      <c r="F54" s="6">
        <v>4150</v>
      </c>
      <c r="G54" s="3">
        <f t="shared" si="0"/>
        <v>1245</v>
      </c>
      <c r="H54" s="24">
        <f t="shared" si="1"/>
        <v>5395</v>
      </c>
    </row>
    <row r="55" spans="1:8" ht="15" x14ac:dyDescent="0.2">
      <c r="A55" s="8"/>
      <c r="B55" s="8"/>
      <c r="C55" s="3"/>
      <c r="D55" s="23" t="s">
        <v>164</v>
      </c>
      <c r="E55" s="19"/>
      <c r="F55" s="6">
        <v>5280</v>
      </c>
      <c r="G55" s="3">
        <f t="shared" si="0"/>
        <v>1585</v>
      </c>
      <c r="H55" s="24">
        <f t="shared" si="1"/>
        <v>6865</v>
      </c>
    </row>
    <row r="56" spans="1:8" ht="15" x14ac:dyDescent="0.2">
      <c r="A56" s="8"/>
      <c r="B56" s="8"/>
      <c r="C56" s="3"/>
      <c r="D56" s="23" t="s">
        <v>165</v>
      </c>
      <c r="E56" s="19"/>
      <c r="F56" s="6">
        <v>4355</v>
      </c>
      <c r="G56" s="3">
        <f t="shared" si="0"/>
        <v>1305</v>
      </c>
      <c r="H56" s="24">
        <f t="shared" si="1"/>
        <v>5660</v>
      </c>
    </row>
    <row r="57" spans="1:8" ht="15" x14ac:dyDescent="0.2">
      <c r="A57" s="8"/>
      <c r="B57" s="8"/>
      <c r="C57" s="3"/>
      <c r="D57" s="23" t="s">
        <v>166</v>
      </c>
      <c r="E57" s="19"/>
      <c r="F57" s="6">
        <v>6240</v>
      </c>
      <c r="G57" s="3">
        <f t="shared" si="0"/>
        <v>1870</v>
      </c>
      <c r="H57" s="24">
        <f t="shared" si="1"/>
        <v>8110</v>
      </c>
    </row>
    <row r="58" spans="1:8" ht="15" x14ac:dyDescent="0.2">
      <c r="A58" s="8"/>
      <c r="B58" s="8"/>
      <c r="C58" s="3"/>
      <c r="D58" s="23" t="s">
        <v>167</v>
      </c>
      <c r="E58" s="19"/>
      <c r="F58" s="6">
        <v>4355</v>
      </c>
      <c r="G58" s="3">
        <f t="shared" si="0"/>
        <v>1305</v>
      </c>
      <c r="H58" s="24">
        <f t="shared" si="1"/>
        <v>5660</v>
      </c>
    </row>
    <row r="59" spans="1:8" ht="15" x14ac:dyDescent="0.2">
      <c r="A59" s="8"/>
      <c r="B59" s="8"/>
      <c r="C59" s="3"/>
      <c r="D59" s="23" t="s">
        <v>168</v>
      </c>
      <c r="E59" s="19"/>
      <c r="F59" s="6">
        <v>7185</v>
      </c>
      <c r="G59" s="3">
        <f t="shared" si="0"/>
        <v>2155</v>
      </c>
      <c r="H59" s="24">
        <f t="shared" si="1"/>
        <v>9340</v>
      </c>
    </row>
    <row r="60" spans="1:8" ht="15" x14ac:dyDescent="0.2">
      <c r="A60" s="8"/>
      <c r="B60" s="8"/>
      <c r="C60" s="3"/>
      <c r="D60" s="23" t="s">
        <v>169</v>
      </c>
      <c r="E60" s="19"/>
      <c r="F60" s="6">
        <v>5255</v>
      </c>
      <c r="G60" s="3">
        <f t="shared" si="0"/>
        <v>1575</v>
      </c>
      <c r="H60" s="24">
        <f t="shared" si="1"/>
        <v>6830</v>
      </c>
    </row>
    <row r="61" spans="1:8" ht="15" x14ac:dyDescent="0.2">
      <c r="A61" s="8"/>
      <c r="B61" s="8"/>
      <c r="C61" s="3"/>
      <c r="D61" s="23" t="s">
        <v>170</v>
      </c>
      <c r="E61" s="19"/>
      <c r="F61" s="6">
        <v>7895</v>
      </c>
      <c r="G61" s="3">
        <f t="shared" si="0"/>
        <v>2370</v>
      </c>
      <c r="H61" s="24">
        <f t="shared" si="1"/>
        <v>10265</v>
      </c>
    </row>
    <row r="62" spans="1:8" ht="15" x14ac:dyDescent="0.2">
      <c r="A62" s="8"/>
      <c r="B62" s="8"/>
      <c r="C62" s="3"/>
      <c r="D62" s="23" t="s">
        <v>171</v>
      </c>
      <c r="E62" s="19"/>
      <c r="F62" s="6">
        <v>4150</v>
      </c>
      <c r="G62" s="3">
        <f t="shared" si="0"/>
        <v>1245</v>
      </c>
      <c r="H62" s="24">
        <f t="shared" si="1"/>
        <v>5395</v>
      </c>
    </row>
    <row r="63" spans="1:8" ht="15" x14ac:dyDescent="0.2">
      <c r="A63" s="8"/>
      <c r="B63" s="8"/>
      <c r="C63" s="3"/>
      <c r="D63" s="23" t="s">
        <v>172</v>
      </c>
      <c r="E63" s="19"/>
      <c r="F63" s="6">
        <v>5055</v>
      </c>
      <c r="G63" s="3">
        <f t="shared" si="0"/>
        <v>1515</v>
      </c>
      <c r="H63" s="24">
        <f t="shared" si="1"/>
        <v>6570</v>
      </c>
    </row>
    <row r="64" spans="1:8" ht="15" x14ac:dyDescent="0.2">
      <c r="A64" s="8"/>
      <c r="B64" s="8"/>
      <c r="C64" s="3"/>
      <c r="D64" s="23" t="s">
        <v>173</v>
      </c>
      <c r="E64" s="19"/>
      <c r="F64" s="6">
        <v>4355</v>
      </c>
      <c r="G64" s="3">
        <f t="shared" si="0"/>
        <v>1305</v>
      </c>
      <c r="H64" s="24">
        <f t="shared" si="1"/>
        <v>5660</v>
      </c>
    </row>
    <row r="65" spans="1:8" ht="15" x14ac:dyDescent="0.2">
      <c r="A65" s="8"/>
      <c r="B65" s="8"/>
      <c r="C65" s="3"/>
      <c r="D65" s="23" t="s">
        <v>174</v>
      </c>
      <c r="E65" s="19"/>
      <c r="F65" s="6">
        <v>6015</v>
      </c>
      <c r="G65" s="3">
        <f t="shared" si="0"/>
        <v>1805</v>
      </c>
      <c r="H65" s="24">
        <f t="shared" si="1"/>
        <v>7820</v>
      </c>
    </row>
    <row r="66" spans="1:8" ht="15" x14ac:dyDescent="0.2">
      <c r="A66" s="8"/>
      <c r="B66" s="8"/>
      <c r="C66" s="3"/>
      <c r="D66" s="23" t="s">
        <v>175</v>
      </c>
      <c r="E66" s="19"/>
      <c r="F66" s="6">
        <v>4335</v>
      </c>
      <c r="G66" s="3">
        <f t="shared" si="0"/>
        <v>1300</v>
      </c>
      <c r="H66" s="24">
        <f t="shared" si="1"/>
        <v>5635</v>
      </c>
    </row>
    <row r="67" spans="1:8" ht="15" x14ac:dyDescent="0.2">
      <c r="A67" s="8"/>
      <c r="B67" s="8"/>
      <c r="C67" s="3"/>
      <c r="D67" s="23" t="s">
        <v>176</v>
      </c>
      <c r="E67" s="19"/>
      <c r="F67" s="6">
        <v>6960</v>
      </c>
      <c r="G67" s="3">
        <f t="shared" si="0"/>
        <v>2090</v>
      </c>
      <c r="H67" s="24">
        <f t="shared" si="1"/>
        <v>9050</v>
      </c>
    </row>
    <row r="68" spans="1:8" ht="15" x14ac:dyDescent="0.2">
      <c r="A68" s="8"/>
      <c r="B68" s="8"/>
      <c r="C68" s="3"/>
      <c r="D68" s="23" t="s">
        <v>177</v>
      </c>
      <c r="E68" s="19"/>
      <c r="F68" s="6">
        <v>5225</v>
      </c>
      <c r="G68" s="3">
        <f t="shared" si="0"/>
        <v>1570</v>
      </c>
      <c r="H68" s="24">
        <f t="shared" si="1"/>
        <v>6795</v>
      </c>
    </row>
    <row r="69" spans="1:8" ht="15" x14ac:dyDescent="0.2">
      <c r="A69" s="8"/>
      <c r="B69" s="8"/>
      <c r="C69" s="3"/>
      <c r="D69" s="23" t="s">
        <v>178</v>
      </c>
      <c r="E69" s="19"/>
      <c r="F69" s="6">
        <v>7670</v>
      </c>
      <c r="G69" s="3">
        <f t="shared" si="0"/>
        <v>2300</v>
      </c>
      <c r="H69" s="24">
        <f t="shared" si="1"/>
        <v>9970</v>
      </c>
    </row>
    <row r="70" spans="1:8" ht="15" x14ac:dyDescent="0.2">
      <c r="A70" s="8"/>
      <c r="B70" s="8"/>
      <c r="C70" s="3"/>
      <c r="D70" s="3"/>
      <c r="E70" s="11"/>
      <c r="F70" s="3" t="s">
        <v>90</v>
      </c>
      <c r="G70" s="3"/>
      <c r="H70" s="24"/>
    </row>
    <row r="71" spans="1:8" ht="15" x14ac:dyDescent="0.2">
      <c r="A71" s="8" t="s">
        <v>153</v>
      </c>
      <c r="B71" s="8" t="s">
        <v>154</v>
      </c>
      <c r="C71" s="3"/>
      <c r="D71" s="23" t="s">
        <v>179</v>
      </c>
      <c r="E71" s="19"/>
      <c r="F71" s="6">
        <v>5795</v>
      </c>
      <c r="G71" s="3">
        <f t="shared" si="0"/>
        <v>1740</v>
      </c>
      <c r="H71" s="24">
        <f t="shared" si="1"/>
        <v>7535</v>
      </c>
    </row>
    <row r="72" spans="1:8" ht="15" x14ac:dyDescent="0.2">
      <c r="A72" s="8"/>
      <c r="B72" s="8"/>
      <c r="C72" s="3"/>
      <c r="D72" s="23" t="s">
        <v>180</v>
      </c>
      <c r="E72" s="19"/>
      <c r="F72" s="6">
        <v>7450</v>
      </c>
      <c r="G72" s="3">
        <f t="shared" si="0"/>
        <v>2235</v>
      </c>
      <c r="H72" s="24">
        <f t="shared" si="1"/>
        <v>9685</v>
      </c>
    </row>
    <row r="73" spans="1:8" ht="15" x14ac:dyDescent="0.2">
      <c r="A73" s="8"/>
      <c r="B73" s="8"/>
      <c r="C73" s="3"/>
      <c r="D73" s="3" t="s">
        <v>105</v>
      </c>
      <c r="E73" s="11"/>
      <c r="F73" s="6">
        <v>6870</v>
      </c>
      <c r="G73" s="3">
        <f t="shared" si="0"/>
        <v>2060</v>
      </c>
      <c r="H73" s="24">
        <f t="shared" si="1"/>
        <v>8930</v>
      </c>
    </row>
    <row r="74" spans="1:8" ht="15" x14ac:dyDescent="0.2">
      <c r="A74" s="8"/>
      <c r="B74" s="8"/>
      <c r="C74" s="3"/>
      <c r="D74" s="23" t="s">
        <v>106</v>
      </c>
      <c r="E74" s="19"/>
      <c r="F74" s="6">
        <v>10650</v>
      </c>
      <c r="G74" s="3">
        <f t="shared" si="0"/>
        <v>3195</v>
      </c>
      <c r="H74" s="24">
        <f t="shared" si="1"/>
        <v>13845</v>
      </c>
    </row>
    <row r="75" spans="1:8" ht="15" x14ac:dyDescent="0.2">
      <c r="A75" s="8"/>
      <c r="B75" s="8"/>
      <c r="C75" s="3"/>
      <c r="D75" s="23" t="s">
        <v>181</v>
      </c>
      <c r="E75" s="19"/>
      <c r="F75" s="6">
        <v>5795</v>
      </c>
      <c r="G75" s="3">
        <f t="shared" si="0"/>
        <v>1740</v>
      </c>
      <c r="H75" s="24">
        <f t="shared" si="1"/>
        <v>7535</v>
      </c>
    </row>
    <row r="76" spans="1:8" ht="15" x14ac:dyDescent="0.2">
      <c r="A76" s="8"/>
      <c r="B76" s="8"/>
      <c r="C76" s="3"/>
      <c r="D76" s="23" t="s">
        <v>182</v>
      </c>
      <c r="E76" s="19"/>
      <c r="F76" s="6">
        <v>7450</v>
      </c>
      <c r="G76" s="3">
        <f t="shared" si="0"/>
        <v>2235</v>
      </c>
      <c r="H76" s="24">
        <f t="shared" si="1"/>
        <v>9685</v>
      </c>
    </row>
    <row r="77" spans="1:8" ht="15" x14ac:dyDescent="0.2">
      <c r="A77" s="8"/>
      <c r="B77" s="8"/>
      <c r="C77" s="3"/>
      <c r="D77" s="23" t="s">
        <v>183</v>
      </c>
      <c r="E77" s="19"/>
      <c r="F77" s="6">
        <v>6985</v>
      </c>
      <c r="G77" s="3">
        <f t="shared" si="0"/>
        <v>2095</v>
      </c>
      <c r="H77" s="24">
        <f t="shared" si="1"/>
        <v>9080</v>
      </c>
    </row>
    <row r="78" spans="1:8" ht="15" x14ac:dyDescent="0.2">
      <c r="A78" s="8"/>
      <c r="B78" s="8"/>
      <c r="C78" s="3"/>
      <c r="D78" s="23" t="s">
        <v>184</v>
      </c>
      <c r="E78" s="19"/>
      <c r="F78" s="6">
        <v>10820</v>
      </c>
      <c r="G78" s="3">
        <f t="shared" ref="G78:G141" si="2">MROUND(F78*30%,5)</f>
        <v>3245</v>
      </c>
      <c r="H78" s="24">
        <f t="shared" si="1"/>
        <v>14065</v>
      </c>
    </row>
    <row r="79" spans="1:8" ht="15" x14ac:dyDescent="0.2">
      <c r="A79" s="8"/>
      <c r="B79" s="8"/>
      <c r="C79" s="3"/>
      <c r="D79" s="23" t="s">
        <v>109</v>
      </c>
      <c r="E79" s="19"/>
      <c r="F79" s="6">
        <v>6265</v>
      </c>
      <c r="G79" s="3">
        <f t="shared" si="2"/>
        <v>1880</v>
      </c>
      <c r="H79" s="24">
        <f t="shared" si="1"/>
        <v>8145</v>
      </c>
    </row>
    <row r="80" spans="1:8" ht="15" x14ac:dyDescent="0.2">
      <c r="A80" s="8"/>
      <c r="B80" s="8"/>
      <c r="C80" s="3"/>
      <c r="D80" s="23" t="s">
        <v>110</v>
      </c>
      <c r="E80" s="19"/>
      <c r="F80" s="6">
        <v>8870</v>
      </c>
      <c r="G80" s="3">
        <f t="shared" si="2"/>
        <v>2660</v>
      </c>
      <c r="H80" s="24">
        <f t="shared" si="1"/>
        <v>11530</v>
      </c>
    </row>
    <row r="81" spans="1:8" ht="15" x14ac:dyDescent="0.2">
      <c r="A81" s="8"/>
      <c r="B81" s="8"/>
      <c r="C81" s="3"/>
      <c r="D81" s="23" t="s">
        <v>185</v>
      </c>
      <c r="E81" s="19"/>
      <c r="F81" s="6">
        <v>6490</v>
      </c>
      <c r="G81" s="3">
        <f t="shared" si="2"/>
        <v>1945</v>
      </c>
      <c r="H81" s="24">
        <f t="shared" si="1"/>
        <v>8435</v>
      </c>
    </row>
    <row r="82" spans="1:8" ht="15" x14ac:dyDescent="0.2">
      <c r="A82" s="8"/>
      <c r="B82" s="8"/>
      <c r="C82" s="3"/>
      <c r="D82" s="23" t="s">
        <v>186</v>
      </c>
      <c r="E82" s="19"/>
      <c r="F82" s="6">
        <v>9095</v>
      </c>
      <c r="G82" s="3">
        <f t="shared" si="2"/>
        <v>2730</v>
      </c>
      <c r="H82" s="24">
        <f t="shared" ref="H82:H141" si="3">SUM(F82,G82)</f>
        <v>11825</v>
      </c>
    </row>
    <row r="83" spans="1:8" ht="15" x14ac:dyDescent="0.2">
      <c r="A83" s="8"/>
      <c r="B83" s="8"/>
      <c r="C83" s="3"/>
      <c r="D83" s="3" t="s">
        <v>187</v>
      </c>
      <c r="E83" s="11"/>
      <c r="F83" s="6">
        <v>6870</v>
      </c>
      <c r="G83" s="3">
        <f t="shared" si="2"/>
        <v>2060</v>
      </c>
      <c r="H83" s="24">
        <f t="shared" si="3"/>
        <v>8930</v>
      </c>
    </row>
    <row r="84" spans="1:8" ht="15" x14ac:dyDescent="0.2">
      <c r="A84" s="8"/>
      <c r="B84" s="8"/>
      <c r="C84" s="3"/>
      <c r="D84" s="23" t="s">
        <v>188</v>
      </c>
      <c r="E84" s="19"/>
      <c r="F84" s="6">
        <v>10650</v>
      </c>
      <c r="G84" s="3">
        <f t="shared" si="2"/>
        <v>3195</v>
      </c>
      <c r="H84" s="24">
        <f t="shared" si="3"/>
        <v>13845</v>
      </c>
    </row>
    <row r="85" spans="1:8" ht="15" x14ac:dyDescent="0.2">
      <c r="A85" s="8"/>
      <c r="B85" s="8"/>
      <c r="C85" s="3"/>
      <c r="D85" s="23" t="s">
        <v>189</v>
      </c>
      <c r="E85" s="19"/>
      <c r="F85" s="6">
        <v>7805</v>
      </c>
      <c r="G85" s="3">
        <f t="shared" si="2"/>
        <v>2340</v>
      </c>
      <c r="H85" s="24">
        <f t="shared" si="3"/>
        <v>10145</v>
      </c>
    </row>
    <row r="86" spans="1:8" ht="15" x14ac:dyDescent="0.2">
      <c r="A86" s="8"/>
      <c r="B86" s="8"/>
      <c r="C86" s="3"/>
      <c r="D86" s="23" t="s">
        <v>190</v>
      </c>
      <c r="E86" s="19"/>
      <c r="F86" s="6">
        <v>11830</v>
      </c>
      <c r="G86" s="3">
        <f t="shared" si="2"/>
        <v>3550</v>
      </c>
      <c r="H86" s="24">
        <f t="shared" si="3"/>
        <v>15380</v>
      </c>
    </row>
    <row r="87" spans="1:8" ht="15" x14ac:dyDescent="0.2">
      <c r="A87" s="8"/>
      <c r="B87" s="8"/>
      <c r="C87" s="3"/>
      <c r="D87" s="23" t="s">
        <v>191</v>
      </c>
      <c r="E87" s="19"/>
      <c r="F87" s="6">
        <v>6490</v>
      </c>
      <c r="G87" s="3">
        <f t="shared" si="2"/>
        <v>1945</v>
      </c>
      <c r="H87" s="24">
        <f t="shared" si="3"/>
        <v>8435</v>
      </c>
    </row>
    <row r="88" spans="1:8" ht="15" x14ac:dyDescent="0.2">
      <c r="A88" s="8"/>
      <c r="B88" s="8"/>
      <c r="C88" s="3"/>
      <c r="D88" s="23" t="s">
        <v>192</v>
      </c>
      <c r="E88" s="19"/>
      <c r="F88" s="6">
        <v>9320</v>
      </c>
      <c r="G88" s="3">
        <f t="shared" si="2"/>
        <v>2795</v>
      </c>
      <c r="H88" s="24">
        <f t="shared" si="3"/>
        <v>12115</v>
      </c>
    </row>
    <row r="89" spans="1:8" ht="15" x14ac:dyDescent="0.2">
      <c r="A89" s="8"/>
      <c r="B89" s="8"/>
      <c r="C89" s="3"/>
      <c r="D89" s="23" t="s">
        <v>193</v>
      </c>
      <c r="E89" s="19"/>
      <c r="F89" s="6">
        <v>6870</v>
      </c>
      <c r="G89" s="3">
        <f t="shared" si="2"/>
        <v>2060</v>
      </c>
      <c r="H89" s="24">
        <f t="shared" si="3"/>
        <v>8930</v>
      </c>
    </row>
    <row r="90" spans="1:8" ht="15" x14ac:dyDescent="0.2">
      <c r="A90" s="8"/>
      <c r="B90" s="8"/>
      <c r="C90" s="3"/>
      <c r="D90" s="23" t="s">
        <v>194</v>
      </c>
      <c r="E90" s="19"/>
      <c r="F90" s="6">
        <v>10870</v>
      </c>
      <c r="G90" s="3">
        <f t="shared" si="2"/>
        <v>3260</v>
      </c>
      <c r="H90" s="24">
        <f t="shared" si="3"/>
        <v>14130</v>
      </c>
    </row>
    <row r="91" spans="1:8" ht="15" x14ac:dyDescent="0.2">
      <c r="A91" s="8"/>
      <c r="B91" s="8"/>
      <c r="C91" s="3"/>
      <c r="D91" s="23" t="s">
        <v>195</v>
      </c>
      <c r="E91" s="19"/>
      <c r="F91" s="6">
        <v>7805</v>
      </c>
      <c r="G91" s="3">
        <f t="shared" si="2"/>
        <v>2340</v>
      </c>
      <c r="H91" s="24">
        <f t="shared" si="3"/>
        <v>10145</v>
      </c>
    </row>
    <row r="92" spans="1:8" ht="15" x14ac:dyDescent="0.2">
      <c r="A92" s="8"/>
      <c r="B92" s="8"/>
      <c r="C92" s="3"/>
      <c r="D92" s="23" t="s">
        <v>196</v>
      </c>
      <c r="E92" s="19"/>
      <c r="F92" s="6">
        <v>12055</v>
      </c>
      <c r="G92" s="3">
        <f t="shared" si="2"/>
        <v>3615</v>
      </c>
      <c r="H92" s="24">
        <f t="shared" si="3"/>
        <v>15670</v>
      </c>
    </row>
    <row r="93" spans="1:8" ht="15" x14ac:dyDescent="0.2">
      <c r="A93" s="8"/>
      <c r="B93" s="8"/>
      <c r="C93" s="3"/>
      <c r="D93" s="23" t="s">
        <v>197</v>
      </c>
      <c r="E93" s="19"/>
      <c r="F93" s="6">
        <v>9935</v>
      </c>
      <c r="G93" s="3">
        <f t="shared" si="2"/>
        <v>2980</v>
      </c>
      <c r="H93" s="24">
        <f t="shared" si="3"/>
        <v>12915</v>
      </c>
    </row>
    <row r="94" spans="1:8" ht="15" x14ac:dyDescent="0.2">
      <c r="A94" s="8"/>
      <c r="B94" s="8"/>
      <c r="C94" s="3"/>
      <c r="D94" s="23" t="s">
        <v>198</v>
      </c>
      <c r="E94" s="19"/>
      <c r="F94" s="6">
        <v>15615</v>
      </c>
      <c r="G94" s="3">
        <f t="shared" si="2"/>
        <v>4685</v>
      </c>
      <c r="H94" s="24">
        <f t="shared" si="3"/>
        <v>20300</v>
      </c>
    </row>
    <row r="95" spans="1:8" ht="15" x14ac:dyDescent="0.2">
      <c r="A95" s="8"/>
      <c r="B95" s="8"/>
      <c r="C95" s="3"/>
      <c r="D95" s="23" t="s">
        <v>199</v>
      </c>
      <c r="E95" s="19"/>
      <c r="F95" s="6">
        <v>11345</v>
      </c>
      <c r="G95" s="3">
        <f t="shared" si="2"/>
        <v>3405</v>
      </c>
      <c r="H95" s="24">
        <f t="shared" si="3"/>
        <v>14750</v>
      </c>
    </row>
    <row r="96" spans="1:8" ht="15" x14ac:dyDescent="0.2">
      <c r="A96" s="8"/>
      <c r="B96" s="8"/>
      <c r="C96" s="3"/>
      <c r="D96" s="23" t="s">
        <v>200</v>
      </c>
      <c r="E96" s="19"/>
      <c r="F96" s="6">
        <v>20910</v>
      </c>
      <c r="G96" s="3">
        <f t="shared" si="2"/>
        <v>6275</v>
      </c>
      <c r="H96" s="24">
        <f t="shared" si="3"/>
        <v>27185</v>
      </c>
    </row>
    <row r="97" spans="1:8" ht="15" x14ac:dyDescent="0.2">
      <c r="A97" s="8"/>
      <c r="B97" s="8"/>
      <c r="C97" s="3"/>
      <c r="D97" s="3" t="s">
        <v>117</v>
      </c>
      <c r="E97" s="11"/>
      <c r="F97" s="6">
        <v>11120</v>
      </c>
      <c r="G97" s="3">
        <f t="shared" si="2"/>
        <v>3335</v>
      </c>
      <c r="H97" s="24">
        <f t="shared" si="3"/>
        <v>14455</v>
      </c>
    </row>
    <row r="98" spans="1:8" ht="15" x14ac:dyDescent="0.2">
      <c r="A98" s="8"/>
      <c r="B98" s="8"/>
      <c r="C98" s="3"/>
      <c r="D98" s="23" t="s">
        <v>118</v>
      </c>
      <c r="E98" s="19"/>
      <c r="F98" s="6">
        <v>20350</v>
      </c>
      <c r="G98" s="3">
        <f t="shared" si="2"/>
        <v>6105</v>
      </c>
      <c r="H98" s="24">
        <f t="shared" si="3"/>
        <v>26455</v>
      </c>
    </row>
    <row r="99" spans="1:8" ht="15" x14ac:dyDescent="0.2">
      <c r="A99" s="8"/>
      <c r="B99" s="8"/>
      <c r="C99" s="3"/>
      <c r="D99" s="3" t="s">
        <v>119</v>
      </c>
      <c r="E99" s="11"/>
      <c r="F99" s="6">
        <v>13005</v>
      </c>
      <c r="G99" s="3">
        <f t="shared" si="2"/>
        <v>3900</v>
      </c>
      <c r="H99" s="24">
        <f t="shared" si="3"/>
        <v>16905</v>
      </c>
    </row>
    <row r="100" spans="1:8" ht="15" x14ac:dyDescent="0.2">
      <c r="A100" s="8"/>
      <c r="B100" s="8"/>
      <c r="C100" s="3"/>
      <c r="D100" s="23" t="s">
        <v>120</v>
      </c>
      <c r="E100" s="19"/>
      <c r="F100" s="6">
        <v>26620</v>
      </c>
      <c r="G100" s="3">
        <f t="shared" si="2"/>
        <v>7985</v>
      </c>
      <c r="H100" s="24">
        <f t="shared" si="3"/>
        <v>34605</v>
      </c>
    </row>
    <row r="101" spans="1:8" ht="15" x14ac:dyDescent="0.2">
      <c r="A101" s="8"/>
      <c r="B101" s="8"/>
      <c r="C101" s="3"/>
      <c r="D101" s="23" t="s">
        <v>201</v>
      </c>
      <c r="E101" s="19"/>
      <c r="F101" s="6">
        <v>11120</v>
      </c>
      <c r="G101" s="3">
        <f t="shared" si="2"/>
        <v>3335</v>
      </c>
      <c r="H101" s="24">
        <f t="shared" si="3"/>
        <v>14455</v>
      </c>
    </row>
    <row r="102" spans="1:8" ht="15" x14ac:dyDescent="0.2">
      <c r="A102" s="8"/>
      <c r="B102" s="8"/>
      <c r="C102" s="3"/>
      <c r="D102" s="23" t="s">
        <v>202</v>
      </c>
      <c r="E102" s="19"/>
      <c r="F102" s="6">
        <v>20350</v>
      </c>
      <c r="G102" s="3">
        <f t="shared" si="2"/>
        <v>6105</v>
      </c>
      <c r="H102" s="24">
        <f t="shared" si="3"/>
        <v>26455</v>
      </c>
    </row>
    <row r="103" spans="1:8" ht="15" x14ac:dyDescent="0.2">
      <c r="A103" s="8"/>
      <c r="B103" s="8"/>
      <c r="C103" s="3"/>
      <c r="D103" s="23" t="s">
        <v>121</v>
      </c>
      <c r="E103" s="19"/>
      <c r="F103" s="6">
        <v>7450</v>
      </c>
      <c r="G103" s="3">
        <f t="shared" si="2"/>
        <v>2235</v>
      </c>
      <c r="H103" s="24">
        <f t="shared" si="3"/>
        <v>9685</v>
      </c>
    </row>
    <row r="104" spans="1:8" ht="15" x14ac:dyDescent="0.2">
      <c r="A104" s="8"/>
      <c r="B104" s="8"/>
      <c r="C104" s="3"/>
      <c r="D104" s="23" t="s">
        <v>122</v>
      </c>
      <c r="E104" s="19"/>
      <c r="F104" s="6">
        <v>18100</v>
      </c>
      <c r="G104" s="3">
        <f t="shared" si="2"/>
        <v>5430</v>
      </c>
      <c r="H104" s="24">
        <f t="shared" si="3"/>
        <v>23530</v>
      </c>
    </row>
    <row r="105" spans="1:8" ht="15" x14ac:dyDescent="0.2">
      <c r="A105" s="8"/>
      <c r="B105" s="8"/>
      <c r="C105" s="3"/>
      <c r="D105" s="23" t="s">
        <v>203</v>
      </c>
      <c r="E105" s="19"/>
      <c r="F105" s="6">
        <v>11590</v>
      </c>
      <c r="G105" s="3">
        <f t="shared" si="2"/>
        <v>3475</v>
      </c>
      <c r="H105" s="24">
        <f t="shared" si="3"/>
        <v>15065</v>
      </c>
    </row>
    <row r="106" spans="1:8" ht="15" x14ac:dyDescent="0.2">
      <c r="A106" s="8"/>
      <c r="B106" s="8"/>
      <c r="C106" s="3"/>
      <c r="D106" s="23" t="s">
        <v>204</v>
      </c>
      <c r="E106" s="19"/>
      <c r="F106" s="6">
        <v>22830</v>
      </c>
      <c r="G106" s="3">
        <f t="shared" si="2"/>
        <v>6850</v>
      </c>
      <c r="H106" s="24">
        <f t="shared" si="3"/>
        <v>29680</v>
      </c>
    </row>
    <row r="107" spans="1:8" ht="15" x14ac:dyDescent="0.2">
      <c r="A107" s="8"/>
      <c r="B107" s="8"/>
      <c r="C107" s="3"/>
      <c r="D107" s="3" t="s">
        <v>124</v>
      </c>
      <c r="E107" s="11"/>
      <c r="F107" s="6">
        <v>5325</v>
      </c>
      <c r="G107" s="3">
        <f t="shared" si="2"/>
        <v>1600</v>
      </c>
      <c r="H107" s="24">
        <f t="shared" si="3"/>
        <v>6925</v>
      </c>
    </row>
    <row r="108" spans="1:8" ht="16" x14ac:dyDescent="0.2">
      <c r="A108" s="8"/>
      <c r="B108" s="8"/>
      <c r="C108" s="3"/>
      <c r="D108" s="2" t="s">
        <v>205</v>
      </c>
      <c r="E108" s="11"/>
      <c r="F108" s="3" t="s">
        <v>90</v>
      </c>
      <c r="G108" s="3"/>
      <c r="H108" s="24"/>
    </row>
    <row r="109" spans="1:8" ht="15" x14ac:dyDescent="0.2">
      <c r="A109" s="8"/>
      <c r="B109" s="8"/>
      <c r="C109" s="3"/>
      <c r="D109" s="3" t="s">
        <v>125</v>
      </c>
      <c r="E109" s="11"/>
      <c r="F109" s="6">
        <v>6150</v>
      </c>
      <c r="G109" s="3">
        <f t="shared" si="2"/>
        <v>1845</v>
      </c>
      <c r="H109" s="24">
        <f t="shared" si="3"/>
        <v>7995</v>
      </c>
    </row>
    <row r="110" spans="1:8" ht="15" x14ac:dyDescent="0.2">
      <c r="A110" s="8"/>
      <c r="B110" s="8"/>
      <c r="C110" s="3"/>
      <c r="D110" s="3" t="s">
        <v>206</v>
      </c>
      <c r="E110" s="11"/>
      <c r="F110" s="6">
        <v>7400</v>
      </c>
      <c r="G110" s="3">
        <f t="shared" si="2"/>
        <v>2220</v>
      </c>
      <c r="H110" s="24">
        <f t="shared" si="3"/>
        <v>9620</v>
      </c>
    </row>
    <row r="111" spans="1:8" ht="15" x14ac:dyDescent="0.2">
      <c r="A111" s="8"/>
      <c r="B111" s="8"/>
      <c r="C111" s="3"/>
      <c r="D111" s="23" t="s">
        <v>207</v>
      </c>
      <c r="E111" s="19"/>
      <c r="F111" s="6">
        <v>8650</v>
      </c>
      <c r="G111" s="3">
        <f t="shared" si="2"/>
        <v>2595</v>
      </c>
      <c r="H111" s="24">
        <f t="shared" si="3"/>
        <v>11245</v>
      </c>
    </row>
    <row r="112" spans="1:8" ht="15" x14ac:dyDescent="0.2">
      <c r="A112" s="8"/>
      <c r="B112" s="8"/>
      <c r="C112" s="3"/>
      <c r="D112" s="3" t="s">
        <v>208</v>
      </c>
      <c r="E112" s="11"/>
      <c r="F112" s="6">
        <v>9925</v>
      </c>
      <c r="G112" s="3">
        <f t="shared" si="2"/>
        <v>2980</v>
      </c>
      <c r="H112" s="24">
        <f t="shared" si="3"/>
        <v>12905</v>
      </c>
    </row>
    <row r="113" spans="1:8" ht="15" x14ac:dyDescent="0.2">
      <c r="A113" s="8"/>
      <c r="B113" s="8"/>
      <c r="C113" s="3"/>
      <c r="D113" s="3" t="s">
        <v>128</v>
      </c>
      <c r="E113" s="11"/>
      <c r="F113" s="6">
        <v>8990</v>
      </c>
      <c r="G113" s="3">
        <f t="shared" si="2"/>
        <v>2695</v>
      </c>
      <c r="H113" s="24">
        <f t="shared" si="3"/>
        <v>11685</v>
      </c>
    </row>
    <row r="114" spans="1:8" ht="15" x14ac:dyDescent="0.2">
      <c r="A114" s="8"/>
      <c r="B114" s="8"/>
      <c r="C114" s="3"/>
      <c r="D114" s="3" t="s">
        <v>129</v>
      </c>
      <c r="E114" s="11"/>
      <c r="F114" s="6">
        <v>13365</v>
      </c>
      <c r="G114" s="3">
        <f t="shared" si="2"/>
        <v>4010</v>
      </c>
      <c r="H114" s="24">
        <f t="shared" si="3"/>
        <v>17375</v>
      </c>
    </row>
    <row r="115" spans="1:8" ht="15" x14ac:dyDescent="0.2">
      <c r="A115" s="8"/>
      <c r="B115" s="8"/>
      <c r="C115" s="3"/>
      <c r="D115" s="3" t="s">
        <v>130</v>
      </c>
      <c r="E115" s="11"/>
      <c r="F115" s="6">
        <v>17750</v>
      </c>
      <c r="G115" s="3">
        <f t="shared" si="2"/>
        <v>5325</v>
      </c>
      <c r="H115" s="24">
        <f t="shared" si="3"/>
        <v>23075</v>
      </c>
    </row>
    <row r="116" spans="1:8" ht="15" x14ac:dyDescent="0.2">
      <c r="A116" s="8"/>
      <c r="B116" s="8"/>
      <c r="C116" s="3"/>
      <c r="D116" s="23" t="s">
        <v>131</v>
      </c>
      <c r="E116" s="19"/>
      <c r="F116" s="6">
        <v>6200</v>
      </c>
      <c r="G116" s="3">
        <f t="shared" si="2"/>
        <v>1860</v>
      </c>
      <c r="H116" s="24">
        <f t="shared" si="3"/>
        <v>8060</v>
      </c>
    </row>
    <row r="117" spans="1:8" ht="15" x14ac:dyDescent="0.2">
      <c r="A117" s="8"/>
      <c r="B117" s="8"/>
      <c r="C117" s="3"/>
      <c r="D117" s="23" t="s">
        <v>209</v>
      </c>
      <c r="E117" s="19"/>
      <c r="F117" s="6">
        <v>7145</v>
      </c>
      <c r="G117" s="3">
        <f t="shared" si="2"/>
        <v>2145</v>
      </c>
      <c r="H117" s="24">
        <f t="shared" si="3"/>
        <v>9290</v>
      </c>
    </row>
    <row r="118" spans="1:8" ht="15" x14ac:dyDescent="0.2">
      <c r="A118" s="8"/>
      <c r="B118" s="8"/>
      <c r="C118" s="3"/>
      <c r="D118" s="23" t="s">
        <v>210</v>
      </c>
      <c r="E118" s="19"/>
      <c r="F118" s="6">
        <v>8100</v>
      </c>
      <c r="G118" s="3">
        <f t="shared" si="2"/>
        <v>2430</v>
      </c>
      <c r="H118" s="24">
        <f t="shared" si="3"/>
        <v>10530</v>
      </c>
    </row>
    <row r="119" spans="1:8" ht="15" x14ac:dyDescent="0.2">
      <c r="A119" s="8"/>
      <c r="B119" s="8"/>
      <c r="C119" s="3"/>
      <c r="D119" s="23" t="s">
        <v>211</v>
      </c>
      <c r="E119" s="19"/>
      <c r="F119" s="6">
        <v>9045</v>
      </c>
      <c r="G119" s="3">
        <f t="shared" si="2"/>
        <v>2715</v>
      </c>
      <c r="H119" s="24">
        <f t="shared" si="3"/>
        <v>11760</v>
      </c>
    </row>
    <row r="120" spans="1:8" ht="15" x14ac:dyDescent="0.2">
      <c r="A120" s="8"/>
      <c r="B120" s="8"/>
      <c r="C120" s="3"/>
      <c r="D120" s="23" t="s">
        <v>212</v>
      </c>
      <c r="E120" s="19"/>
      <c r="F120" s="6">
        <v>6150</v>
      </c>
      <c r="G120" s="3">
        <f t="shared" si="2"/>
        <v>1845</v>
      </c>
      <c r="H120" s="24">
        <f t="shared" si="3"/>
        <v>7995</v>
      </c>
    </row>
    <row r="121" spans="1:8" ht="15" x14ac:dyDescent="0.2">
      <c r="A121" s="8"/>
      <c r="B121" s="8"/>
      <c r="C121" s="3"/>
      <c r="D121" s="23" t="s">
        <v>213</v>
      </c>
      <c r="E121" s="19"/>
      <c r="F121" s="6">
        <v>7135</v>
      </c>
      <c r="G121" s="3">
        <f t="shared" si="2"/>
        <v>2140</v>
      </c>
      <c r="H121" s="24">
        <f t="shared" si="3"/>
        <v>9275</v>
      </c>
    </row>
    <row r="122" spans="1:8" ht="15" x14ac:dyDescent="0.2">
      <c r="A122" s="8"/>
      <c r="B122" s="8"/>
      <c r="C122" s="3"/>
      <c r="D122" s="23" t="s">
        <v>214</v>
      </c>
      <c r="E122" s="19"/>
      <c r="F122" s="6">
        <v>8125</v>
      </c>
      <c r="G122" s="3">
        <f t="shared" si="2"/>
        <v>2440</v>
      </c>
      <c r="H122" s="24">
        <f t="shared" si="3"/>
        <v>10565</v>
      </c>
    </row>
    <row r="123" spans="1:8" ht="15" x14ac:dyDescent="0.2">
      <c r="A123" s="8"/>
      <c r="B123" s="8"/>
      <c r="C123" s="3"/>
      <c r="D123" s="23" t="s">
        <v>215</v>
      </c>
      <c r="E123" s="19"/>
      <c r="F123" s="6">
        <v>9105</v>
      </c>
      <c r="G123" s="3">
        <f t="shared" si="2"/>
        <v>2730</v>
      </c>
      <c r="H123" s="24">
        <f t="shared" si="3"/>
        <v>11835</v>
      </c>
    </row>
    <row r="124" spans="1:8" ht="15" x14ac:dyDescent="0.2">
      <c r="A124" s="8"/>
      <c r="B124" s="8"/>
      <c r="C124" s="3"/>
      <c r="D124" s="3" t="s">
        <v>136</v>
      </c>
      <c r="E124" s="11"/>
      <c r="F124" s="6">
        <v>34470</v>
      </c>
      <c r="G124" s="3">
        <f t="shared" si="2"/>
        <v>10340</v>
      </c>
      <c r="H124" s="24">
        <f t="shared" si="3"/>
        <v>44810</v>
      </c>
    </row>
    <row r="125" spans="1:8" ht="15" x14ac:dyDescent="0.2">
      <c r="A125" s="8"/>
      <c r="B125" s="8"/>
      <c r="C125" s="3"/>
      <c r="D125" s="3" t="s">
        <v>137</v>
      </c>
      <c r="E125" s="11"/>
      <c r="F125" s="6">
        <v>39615</v>
      </c>
      <c r="G125" s="3">
        <f t="shared" si="2"/>
        <v>11885</v>
      </c>
      <c r="H125" s="24">
        <f t="shared" si="3"/>
        <v>51500</v>
      </c>
    </row>
    <row r="126" spans="1:8" ht="15" x14ac:dyDescent="0.2">
      <c r="A126" s="8"/>
      <c r="B126" s="8"/>
      <c r="C126" s="3"/>
      <c r="D126" s="3" t="s">
        <v>138</v>
      </c>
      <c r="E126" s="11"/>
      <c r="F126" s="6">
        <v>44760</v>
      </c>
      <c r="G126" s="3">
        <f t="shared" si="2"/>
        <v>13430</v>
      </c>
      <c r="H126" s="24">
        <f t="shared" si="3"/>
        <v>58190</v>
      </c>
    </row>
    <row r="127" spans="1:8" ht="15" x14ac:dyDescent="0.2">
      <c r="A127" s="8"/>
      <c r="B127" s="8"/>
      <c r="C127" s="3"/>
      <c r="D127" s="3" t="s">
        <v>139</v>
      </c>
      <c r="E127" s="11"/>
      <c r="F127" s="6">
        <v>26750</v>
      </c>
      <c r="G127" s="3">
        <f t="shared" si="2"/>
        <v>8025</v>
      </c>
      <c r="H127" s="24">
        <f t="shared" si="3"/>
        <v>34775</v>
      </c>
    </row>
    <row r="128" spans="1:8" ht="15" x14ac:dyDescent="0.2">
      <c r="A128" s="8"/>
      <c r="B128" s="8"/>
      <c r="C128" s="3"/>
      <c r="D128" s="3" t="s">
        <v>140</v>
      </c>
      <c r="E128" s="11"/>
      <c r="F128" s="6">
        <v>30355</v>
      </c>
      <c r="G128" s="3">
        <f t="shared" si="2"/>
        <v>9105</v>
      </c>
      <c r="H128" s="24">
        <f t="shared" si="3"/>
        <v>39460</v>
      </c>
    </row>
    <row r="129" spans="1:8" ht="15" x14ac:dyDescent="0.2">
      <c r="A129" s="8"/>
      <c r="B129" s="8"/>
      <c r="C129" s="3"/>
      <c r="D129" s="3" t="s">
        <v>141</v>
      </c>
      <c r="E129" s="11"/>
      <c r="F129" s="6">
        <v>33950</v>
      </c>
      <c r="G129" s="3">
        <f t="shared" si="2"/>
        <v>10185</v>
      </c>
      <c r="H129" s="24">
        <f t="shared" si="3"/>
        <v>44135</v>
      </c>
    </row>
    <row r="130" spans="1:8" ht="15" x14ac:dyDescent="0.2">
      <c r="A130" s="8"/>
      <c r="B130" s="8"/>
      <c r="C130" s="3"/>
      <c r="D130" s="3" t="s">
        <v>142</v>
      </c>
      <c r="E130" s="11"/>
      <c r="F130" s="6">
        <v>23665</v>
      </c>
      <c r="G130" s="3">
        <f t="shared" si="2"/>
        <v>7100</v>
      </c>
      <c r="H130" s="24">
        <f t="shared" si="3"/>
        <v>30765</v>
      </c>
    </row>
    <row r="131" spans="1:8" ht="15" x14ac:dyDescent="0.2">
      <c r="A131" s="8"/>
      <c r="B131" s="8"/>
      <c r="C131" s="3"/>
      <c r="D131" s="3" t="s">
        <v>143</v>
      </c>
      <c r="E131" s="11"/>
      <c r="F131" s="6">
        <v>28810</v>
      </c>
      <c r="G131" s="3">
        <f t="shared" si="2"/>
        <v>8645</v>
      </c>
      <c r="H131" s="24">
        <f t="shared" si="3"/>
        <v>37455</v>
      </c>
    </row>
    <row r="132" spans="1:8" ht="15" x14ac:dyDescent="0.2">
      <c r="A132" s="8"/>
      <c r="B132" s="8"/>
      <c r="C132" s="3"/>
      <c r="D132" s="3" t="s">
        <v>144</v>
      </c>
      <c r="E132" s="11"/>
      <c r="F132" s="6">
        <v>33950</v>
      </c>
      <c r="G132" s="3">
        <f t="shared" si="2"/>
        <v>10185</v>
      </c>
      <c r="H132" s="24">
        <f t="shared" si="3"/>
        <v>44135</v>
      </c>
    </row>
    <row r="133" spans="1:8" ht="15" x14ac:dyDescent="0.2">
      <c r="A133" s="8"/>
      <c r="B133" s="8"/>
      <c r="C133" s="3"/>
      <c r="D133" s="23" t="s">
        <v>216</v>
      </c>
      <c r="E133" s="19"/>
      <c r="F133" s="6">
        <v>33950</v>
      </c>
      <c r="G133" s="3">
        <f t="shared" si="2"/>
        <v>10185</v>
      </c>
      <c r="H133" s="24">
        <f t="shared" si="3"/>
        <v>44135</v>
      </c>
    </row>
    <row r="134" spans="1:8" ht="15" x14ac:dyDescent="0.2">
      <c r="A134" s="8"/>
      <c r="B134" s="8"/>
      <c r="C134" s="3"/>
      <c r="D134" s="3" t="s">
        <v>217</v>
      </c>
      <c r="E134" s="11"/>
      <c r="F134" s="6">
        <v>24180</v>
      </c>
      <c r="G134" s="3">
        <f t="shared" si="2"/>
        <v>7255</v>
      </c>
      <c r="H134" s="24">
        <f t="shared" si="3"/>
        <v>31435</v>
      </c>
    </row>
    <row r="135" spans="1:8" ht="15" x14ac:dyDescent="0.2">
      <c r="A135" s="8"/>
      <c r="B135" s="8"/>
      <c r="C135" s="3"/>
      <c r="D135" s="23" t="s">
        <v>218</v>
      </c>
      <c r="E135" s="19"/>
      <c r="F135" s="6">
        <v>39360</v>
      </c>
      <c r="G135" s="3">
        <f t="shared" si="2"/>
        <v>11810</v>
      </c>
      <c r="H135" s="24">
        <f t="shared" si="3"/>
        <v>51170</v>
      </c>
    </row>
    <row r="136" spans="1:8" ht="15" x14ac:dyDescent="0.2">
      <c r="A136" s="8"/>
      <c r="B136" s="8"/>
      <c r="C136" s="3"/>
      <c r="D136" s="23" t="s">
        <v>219</v>
      </c>
      <c r="E136" s="19"/>
      <c r="F136" s="6">
        <v>29070</v>
      </c>
      <c r="G136" s="3">
        <f t="shared" si="2"/>
        <v>8720</v>
      </c>
      <c r="H136" s="24">
        <f t="shared" si="3"/>
        <v>37790</v>
      </c>
    </row>
    <row r="137" spans="1:8" ht="15" x14ac:dyDescent="0.2">
      <c r="A137" s="8"/>
      <c r="B137" s="8"/>
      <c r="C137" s="3"/>
      <c r="D137" s="23" t="s">
        <v>220</v>
      </c>
      <c r="E137" s="19"/>
      <c r="F137" s="6">
        <v>44760</v>
      </c>
      <c r="G137" s="3">
        <f t="shared" si="2"/>
        <v>13430</v>
      </c>
      <c r="H137" s="24">
        <f t="shared" si="3"/>
        <v>58190</v>
      </c>
    </row>
    <row r="138" spans="1:8" ht="15" x14ac:dyDescent="0.2">
      <c r="A138" s="8"/>
      <c r="B138" s="8"/>
      <c r="C138" s="3"/>
      <c r="D138" s="3" t="s">
        <v>221</v>
      </c>
      <c r="E138" s="11"/>
      <c r="F138" s="6">
        <v>33950</v>
      </c>
      <c r="G138" s="3">
        <f t="shared" si="2"/>
        <v>10185</v>
      </c>
      <c r="H138" s="24">
        <f t="shared" si="3"/>
        <v>44135</v>
      </c>
    </row>
    <row r="139" spans="1:8" ht="15" x14ac:dyDescent="0.2">
      <c r="A139" s="8"/>
      <c r="B139" s="8"/>
      <c r="C139" s="3"/>
      <c r="D139" s="23" t="s">
        <v>148</v>
      </c>
      <c r="E139" s="19"/>
      <c r="F139" s="6">
        <v>27260</v>
      </c>
      <c r="G139" s="3">
        <f t="shared" si="2"/>
        <v>8180</v>
      </c>
      <c r="H139" s="24">
        <f t="shared" si="3"/>
        <v>35440</v>
      </c>
    </row>
    <row r="140" spans="1:8" ht="15" x14ac:dyDescent="0.2">
      <c r="A140" s="8"/>
      <c r="B140" s="8"/>
      <c r="C140" s="3"/>
      <c r="D140" s="23" t="s">
        <v>149</v>
      </c>
      <c r="E140" s="19"/>
      <c r="F140" s="6">
        <v>30615</v>
      </c>
      <c r="G140" s="3">
        <f t="shared" si="2"/>
        <v>9185</v>
      </c>
      <c r="H140" s="24">
        <f t="shared" si="3"/>
        <v>39800</v>
      </c>
    </row>
    <row r="141" spans="1:8" ht="15" x14ac:dyDescent="0.2">
      <c r="A141" s="8"/>
      <c r="B141" s="8"/>
      <c r="C141" s="3"/>
      <c r="D141" s="23" t="s">
        <v>150</v>
      </c>
      <c r="E141" s="19"/>
      <c r="F141" s="6">
        <v>33950</v>
      </c>
      <c r="G141" s="3">
        <f t="shared" si="2"/>
        <v>10185</v>
      </c>
      <c r="H141" s="24">
        <f t="shared" si="3"/>
        <v>44135</v>
      </c>
    </row>
  </sheetData>
  <mergeCells count="82">
    <mergeCell ref="D89:E89"/>
    <mergeCell ref="D90:E90"/>
    <mergeCell ref="D91:E91"/>
    <mergeCell ref="D92:E92"/>
    <mergeCell ref="D93:E93"/>
    <mergeCell ref="D94:E94"/>
    <mergeCell ref="D95:E95"/>
    <mergeCell ref="D96:E96"/>
    <mergeCell ref="D98:E98"/>
    <mergeCell ref="D100:E100"/>
    <mergeCell ref="D101:E101"/>
    <mergeCell ref="D102:E102"/>
    <mergeCell ref="D103:E103"/>
    <mergeCell ref="D104:E104"/>
    <mergeCell ref="D105:E105"/>
    <mergeCell ref="D106:E106"/>
    <mergeCell ref="D111:E111"/>
    <mergeCell ref="D116:E116"/>
    <mergeCell ref="D117:E117"/>
    <mergeCell ref="D118:E118"/>
    <mergeCell ref="D119:E119"/>
    <mergeCell ref="D137:E137"/>
    <mergeCell ref="D139:E139"/>
    <mergeCell ref="D140:E140"/>
    <mergeCell ref="D141:E141"/>
    <mergeCell ref="D120:E120"/>
    <mergeCell ref="D121:E121"/>
    <mergeCell ref="D122:E122"/>
    <mergeCell ref="D123:E123"/>
    <mergeCell ref="D133:E133"/>
    <mergeCell ref="D135:E135"/>
    <mergeCell ref="D136:E136"/>
    <mergeCell ref="A2:E2"/>
    <mergeCell ref="A3:E3"/>
    <mergeCell ref="A4:E4"/>
    <mergeCell ref="A6:B6"/>
    <mergeCell ref="A8:B8"/>
    <mergeCell ref="A23:B23"/>
    <mergeCell ref="D37:E37"/>
    <mergeCell ref="D41:E41"/>
    <mergeCell ref="D42:E42"/>
    <mergeCell ref="D43:E43"/>
    <mergeCell ref="D44:E44"/>
    <mergeCell ref="D47:E47"/>
    <mergeCell ref="D48:E48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8:E68"/>
    <mergeCell ref="D69:E69"/>
    <mergeCell ref="D71:E71"/>
    <mergeCell ref="D72:E72"/>
    <mergeCell ref="D62:E62"/>
    <mergeCell ref="D63:E63"/>
    <mergeCell ref="D64:E64"/>
    <mergeCell ref="D65:E65"/>
    <mergeCell ref="D66:E66"/>
    <mergeCell ref="D85:E85"/>
    <mergeCell ref="D86:E86"/>
    <mergeCell ref="D87:E87"/>
    <mergeCell ref="D88:E88"/>
    <mergeCell ref="G10:H10"/>
    <mergeCell ref="D79:E79"/>
    <mergeCell ref="D80:E80"/>
    <mergeCell ref="D81:E81"/>
    <mergeCell ref="D82:E82"/>
    <mergeCell ref="D84:E84"/>
    <mergeCell ref="D74:E74"/>
    <mergeCell ref="D75:E75"/>
    <mergeCell ref="D76:E76"/>
    <mergeCell ref="D77:E77"/>
    <mergeCell ref="D78:E78"/>
    <mergeCell ref="D67:E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S124"/>
  <sheetViews>
    <sheetView workbookViewId="0">
      <selection activeCell="K28" sqref="K28"/>
    </sheetView>
  </sheetViews>
  <sheetFormatPr baseColWidth="10" defaultColWidth="12.6640625" defaultRowHeight="15.75" customHeight="1" x14ac:dyDescent="0.15"/>
  <cols>
    <col min="4" max="4" width="47.5" customWidth="1"/>
    <col min="5" max="5" width="14.83203125" customWidth="1"/>
    <col min="7" max="7" width="21.83203125" customWidth="1"/>
  </cols>
  <sheetData>
    <row r="2" spans="1:19" ht="15.75" customHeight="1" x14ac:dyDescent="0.25">
      <c r="A2" s="18" t="s">
        <v>222</v>
      </c>
      <c r="B2" s="19"/>
      <c r="C2" s="19"/>
      <c r="D2" s="19"/>
      <c r="E2" s="1"/>
      <c r="F2" s="1"/>
    </row>
    <row r="3" spans="1:19" ht="15.75" customHeight="1" x14ac:dyDescent="0.25">
      <c r="A3" s="18" t="s">
        <v>63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"/>
    </row>
    <row r="4" spans="1:19" ht="15.75" customHeight="1" x14ac:dyDescent="0.25">
      <c r="A4" s="18" t="s">
        <v>223</v>
      </c>
      <c r="B4" s="19"/>
      <c r="C4" s="19"/>
      <c r="D4" s="19"/>
      <c r="E4" s="1"/>
      <c r="F4" s="1"/>
    </row>
    <row r="5" spans="1:19" ht="15" x14ac:dyDescent="0.2">
      <c r="A5" s="3"/>
      <c r="B5" s="3"/>
      <c r="C5" s="3"/>
      <c r="D5" s="3"/>
      <c r="E5" s="3"/>
      <c r="F5" s="3"/>
    </row>
    <row r="6" spans="1:19" ht="16" x14ac:dyDescent="0.2">
      <c r="A6" s="2" t="s">
        <v>65</v>
      </c>
      <c r="B6" s="2"/>
      <c r="C6" s="2"/>
      <c r="D6" s="2"/>
      <c r="E6" s="2"/>
      <c r="F6" s="2"/>
    </row>
    <row r="7" spans="1:19" ht="15" x14ac:dyDescent="0.2">
      <c r="A7" s="3"/>
      <c r="B7" s="3"/>
      <c r="C7" s="3"/>
      <c r="D7" s="3"/>
      <c r="E7" s="3"/>
      <c r="F7" s="3"/>
    </row>
    <row r="8" spans="1:19" ht="15" x14ac:dyDescent="0.2">
      <c r="A8" s="20" t="s">
        <v>66</v>
      </c>
      <c r="B8" s="19"/>
      <c r="C8" s="8"/>
      <c r="D8" s="8"/>
      <c r="E8" s="8"/>
      <c r="F8" s="8"/>
    </row>
    <row r="9" spans="1:19" ht="15" x14ac:dyDescent="0.2">
      <c r="A9" s="8" t="s">
        <v>67</v>
      </c>
      <c r="B9" s="8"/>
      <c r="C9" s="8"/>
      <c r="D9" s="8"/>
      <c r="E9" s="8"/>
      <c r="F9" s="8"/>
    </row>
    <row r="10" spans="1:19" ht="15" x14ac:dyDescent="0.2">
      <c r="A10" s="3"/>
      <c r="B10" s="3"/>
      <c r="C10" s="3"/>
      <c r="D10" s="3"/>
      <c r="E10" s="3"/>
      <c r="F10" s="21" t="s">
        <v>241</v>
      </c>
      <c r="G10" s="21"/>
    </row>
    <row r="11" spans="1:19" ht="15" x14ac:dyDescent="0.2">
      <c r="A11" s="8" t="s">
        <v>68</v>
      </c>
      <c r="B11" s="8"/>
      <c r="C11" s="8"/>
      <c r="D11" s="9" t="s">
        <v>69</v>
      </c>
      <c r="E11" s="8" t="s">
        <v>5</v>
      </c>
      <c r="F11" s="13" t="s">
        <v>240</v>
      </c>
      <c r="G11" s="16" t="s">
        <v>242</v>
      </c>
    </row>
    <row r="12" spans="1:19" ht="15" x14ac:dyDescent="0.2">
      <c r="A12" s="8" t="s">
        <v>70</v>
      </c>
      <c r="B12" s="8" t="s">
        <v>71</v>
      </c>
      <c r="C12" s="8"/>
      <c r="D12" s="8" t="s">
        <v>4</v>
      </c>
      <c r="E12" s="8"/>
      <c r="F12" s="8"/>
      <c r="G12" s="17"/>
    </row>
    <row r="13" spans="1:19" ht="15" x14ac:dyDescent="0.2">
      <c r="A13" s="8" t="s">
        <v>224</v>
      </c>
      <c r="B13" s="8" t="s">
        <v>225</v>
      </c>
      <c r="C13" s="3"/>
      <c r="D13" s="3" t="s">
        <v>74</v>
      </c>
      <c r="E13" s="3">
        <v>200</v>
      </c>
      <c r="F13" s="3">
        <f>MROUND(E13*30%,5)</f>
        <v>60</v>
      </c>
      <c r="G13" s="24">
        <f>SUM(E13,F13)</f>
        <v>260</v>
      </c>
    </row>
    <row r="14" spans="1:19" ht="15" x14ac:dyDescent="0.2">
      <c r="A14" s="3"/>
      <c r="B14" s="3"/>
      <c r="C14" s="3"/>
      <c r="D14" s="3" t="s">
        <v>8</v>
      </c>
      <c r="E14" s="3">
        <v>160</v>
      </c>
      <c r="F14" s="3">
        <f t="shared" ref="F14:F77" si="0">MROUND(E14*30%,5)</f>
        <v>50</v>
      </c>
      <c r="G14" s="24">
        <f t="shared" ref="G14:G77" si="1">SUM(E14,F14)</f>
        <v>210</v>
      </c>
    </row>
    <row r="15" spans="1:19" ht="15" x14ac:dyDescent="0.2">
      <c r="A15" s="3"/>
      <c r="B15" s="3"/>
      <c r="C15" s="3"/>
      <c r="D15" s="3" t="s">
        <v>75</v>
      </c>
      <c r="E15" s="3">
        <v>140</v>
      </c>
      <c r="F15" s="3">
        <f t="shared" si="0"/>
        <v>40</v>
      </c>
      <c r="G15" s="24">
        <f t="shared" si="1"/>
        <v>180</v>
      </c>
    </row>
    <row r="16" spans="1:19" ht="15" x14ac:dyDescent="0.2">
      <c r="A16" s="3"/>
      <c r="B16" s="3"/>
      <c r="C16" s="3"/>
      <c r="D16" s="3" t="s">
        <v>76</v>
      </c>
      <c r="E16" s="3">
        <v>100</v>
      </c>
      <c r="F16" s="3">
        <f t="shared" si="0"/>
        <v>30</v>
      </c>
      <c r="G16" s="24">
        <f t="shared" si="1"/>
        <v>130</v>
      </c>
    </row>
    <row r="17" spans="1:7" ht="15" x14ac:dyDescent="0.2">
      <c r="A17" s="3"/>
      <c r="B17" s="3"/>
      <c r="C17" s="3"/>
      <c r="D17" s="3"/>
      <c r="E17" s="3"/>
      <c r="F17" s="3">
        <f t="shared" si="0"/>
        <v>0</v>
      </c>
      <c r="G17" s="24"/>
    </row>
    <row r="18" spans="1:7" ht="15" x14ac:dyDescent="0.2">
      <c r="A18" s="3"/>
      <c r="B18" s="3"/>
      <c r="C18" s="3"/>
      <c r="D18" s="3" t="s">
        <v>77</v>
      </c>
      <c r="E18" s="3">
        <v>150</v>
      </c>
      <c r="F18" s="3">
        <f t="shared" si="0"/>
        <v>45</v>
      </c>
      <c r="G18" s="24">
        <f t="shared" si="1"/>
        <v>195</v>
      </c>
    </row>
    <row r="19" spans="1:7" ht="15" x14ac:dyDescent="0.2">
      <c r="A19" s="3"/>
      <c r="B19" s="3"/>
      <c r="C19" s="3"/>
      <c r="D19" s="3" t="s">
        <v>78</v>
      </c>
      <c r="E19" s="3">
        <v>120</v>
      </c>
      <c r="F19" s="3">
        <f t="shared" si="0"/>
        <v>35</v>
      </c>
      <c r="G19" s="24">
        <f t="shared" si="1"/>
        <v>155</v>
      </c>
    </row>
    <row r="20" spans="1:7" ht="15" x14ac:dyDescent="0.2">
      <c r="A20" s="3"/>
      <c r="B20" s="3"/>
      <c r="C20" s="3"/>
      <c r="D20" s="3" t="s">
        <v>79</v>
      </c>
      <c r="E20" s="3">
        <v>105</v>
      </c>
      <c r="F20" s="3">
        <f t="shared" si="0"/>
        <v>30</v>
      </c>
      <c r="G20" s="24">
        <f t="shared" si="1"/>
        <v>135</v>
      </c>
    </row>
    <row r="21" spans="1:7" ht="15" x14ac:dyDescent="0.2">
      <c r="A21" s="3"/>
      <c r="B21" s="3"/>
      <c r="C21" s="3"/>
      <c r="D21" s="3" t="s">
        <v>80</v>
      </c>
      <c r="E21" s="3">
        <v>75</v>
      </c>
      <c r="F21" s="3">
        <f t="shared" si="0"/>
        <v>25</v>
      </c>
      <c r="G21" s="24">
        <f t="shared" si="1"/>
        <v>100</v>
      </c>
    </row>
    <row r="22" spans="1:7" ht="15" x14ac:dyDescent="0.2">
      <c r="A22" s="3"/>
      <c r="B22" s="3"/>
      <c r="C22" s="3"/>
      <c r="D22" s="3"/>
      <c r="E22" s="3"/>
      <c r="F22" s="3"/>
      <c r="G22" s="24"/>
    </row>
    <row r="23" spans="1:7" ht="15" x14ac:dyDescent="0.2">
      <c r="A23" s="20" t="s">
        <v>15</v>
      </c>
      <c r="B23" s="19"/>
      <c r="C23" s="8"/>
      <c r="D23" s="8"/>
      <c r="E23" s="3"/>
      <c r="F23" s="3"/>
      <c r="G23" s="24"/>
    </row>
    <row r="24" spans="1:7" ht="15" x14ac:dyDescent="0.2">
      <c r="A24" s="8" t="s">
        <v>70</v>
      </c>
      <c r="B24" s="8" t="s">
        <v>71</v>
      </c>
      <c r="C24" s="8"/>
      <c r="D24" s="9" t="s">
        <v>16</v>
      </c>
      <c r="E24" s="3">
        <v>200</v>
      </c>
      <c r="F24" s="3">
        <f t="shared" si="0"/>
        <v>60</v>
      </c>
      <c r="G24" s="24">
        <f t="shared" si="1"/>
        <v>260</v>
      </c>
    </row>
    <row r="25" spans="1:7" ht="15" x14ac:dyDescent="0.2">
      <c r="A25" s="8" t="s">
        <v>224</v>
      </c>
      <c r="B25" s="8" t="s">
        <v>225</v>
      </c>
      <c r="C25" s="3"/>
      <c r="D25" s="3"/>
      <c r="E25" s="3"/>
      <c r="F25" s="3"/>
      <c r="G25" s="24"/>
    </row>
    <row r="26" spans="1:7" ht="15" x14ac:dyDescent="0.2">
      <c r="A26" s="3"/>
      <c r="B26" s="3"/>
      <c r="C26" s="3"/>
      <c r="D26" s="3"/>
      <c r="E26" s="3"/>
      <c r="F26" s="3"/>
      <c r="G26" s="24"/>
    </row>
    <row r="27" spans="1:7" ht="15" x14ac:dyDescent="0.2">
      <c r="A27" s="8" t="s">
        <v>81</v>
      </c>
      <c r="B27" s="8"/>
      <c r="C27" s="3"/>
      <c r="D27" s="3"/>
      <c r="E27" s="3"/>
      <c r="F27" s="3"/>
      <c r="G27" s="24"/>
    </row>
    <row r="28" spans="1:7" ht="15" x14ac:dyDescent="0.2">
      <c r="A28" s="8" t="s">
        <v>68</v>
      </c>
      <c r="B28" s="8"/>
      <c r="C28" s="3"/>
      <c r="D28" s="3"/>
      <c r="E28" s="3"/>
      <c r="F28" s="3"/>
      <c r="G28" s="24"/>
    </row>
    <row r="29" spans="1:7" ht="15" x14ac:dyDescent="0.2">
      <c r="A29" s="8"/>
      <c r="B29" s="8"/>
      <c r="C29" s="3"/>
      <c r="D29" s="3"/>
      <c r="E29" s="3"/>
      <c r="F29" s="3"/>
      <c r="G29" s="24"/>
    </row>
    <row r="30" spans="1:7" ht="15" x14ac:dyDescent="0.2">
      <c r="A30" s="8" t="s">
        <v>70</v>
      </c>
      <c r="B30" s="8" t="s">
        <v>71</v>
      </c>
      <c r="C30" s="3"/>
      <c r="D30" s="8" t="s">
        <v>20</v>
      </c>
      <c r="E30" s="3"/>
      <c r="F30" s="3"/>
      <c r="G30" s="24"/>
    </row>
    <row r="31" spans="1:7" ht="15" x14ac:dyDescent="0.2">
      <c r="A31" s="8" t="s">
        <v>224</v>
      </c>
      <c r="B31" s="8" t="s">
        <v>225</v>
      </c>
      <c r="C31" s="3"/>
      <c r="D31" s="3" t="s">
        <v>21</v>
      </c>
      <c r="E31" s="3">
        <v>300</v>
      </c>
      <c r="F31" s="3">
        <f t="shared" si="0"/>
        <v>90</v>
      </c>
      <c r="G31" s="24">
        <f t="shared" si="1"/>
        <v>390</v>
      </c>
    </row>
    <row r="32" spans="1:7" ht="15" x14ac:dyDescent="0.2">
      <c r="A32" s="8"/>
      <c r="B32" s="8"/>
      <c r="C32" s="3"/>
      <c r="D32" s="3" t="s">
        <v>155</v>
      </c>
      <c r="E32" s="3">
        <v>400</v>
      </c>
      <c r="F32" s="3">
        <f t="shared" si="0"/>
        <v>120</v>
      </c>
      <c r="G32" s="24">
        <f t="shared" si="1"/>
        <v>520</v>
      </c>
    </row>
    <row r="33" spans="1:7" ht="15" x14ac:dyDescent="0.2">
      <c r="A33" s="8"/>
      <c r="B33" s="8"/>
      <c r="C33" s="3"/>
      <c r="D33" s="3" t="s">
        <v>82</v>
      </c>
      <c r="E33" s="3">
        <v>400</v>
      </c>
      <c r="F33" s="3">
        <f t="shared" si="0"/>
        <v>120</v>
      </c>
      <c r="G33" s="24">
        <f t="shared" si="1"/>
        <v>520</v>
      </c>
    </row>
    <row r="34" spans="1:7" ht="15" x14ac:dyDescent="0.2">
      <c r="A34" s="8"/>
      <c r="B34" s="8"/>
      <c r="C34" s="3"/>
      <c r="D34" s="3" t="s">
        <v>83</v>
      </c>
      <c r="E34" s="3">
        <v>550</v>
      </c>
      <c r="F34" s="3">
        <f t="shared" si="0"/>
        <v>165</v>
      </c>
      <c r="G34" s="24">
        <f t="shared" si="1"/>
        <v>715</v>
      </c>
    </row>
    <row r="35" spans="1:7" ht="15" x14ac:dyDescent="0.2">
      <c r="A35" s="8"/>
      <c r="B35" s="8"/>
      <c r="C35" s="3"/>
      <c r="D35" s="3" t="s">
        <v>23</v>
      </c>
      <c r="E35" s="3">
        <v>800</v>
      </c>
      <c r="F35" s="3">
        <f t="shared" si="0"/>
        <v>240</v>
      </c>
      <c r="G35" s="24">
        <f t="shared" si="1"/>
        <v>1040</v>
      </c>
    </row>
    <row r="36" spans="1:7" ht="15" x14ac:dyDescent="0.2">
      <c r="A36" s="8"/>
      <c r="B36" s="8"/>
      <c r="C36" s="3"/>
      <c r="D36" s="3" t="s">
        <v>84</v>
      </c>
      <c r="E36" s="3">
        <v>750</v>
      </c>
      <c r="F36" s="3">
        <f t="shared" si="0"/>
        <v>225</v>
      </c>
      <c r="G36" s="24">
        <f t="shared" si="1"/>
        <v>975</v>
      </c>
    </row>
    <row r="37" spans="1:7" ht="15" x14ac:dyDescent="0.2">
      <c r="A37" s="8"/>
      <c r="B37" s="8"/>
      <c r="C37" s="3"/>
      <c r="D37" s="3" t="s">
        <v>156</v>
      </c>
      <c r="E37" s="6">
        <v>1600</v>
      </c>
      <c r="F37" s="3">
        <f t="shared" si="0"/>
        <v>480</v>
      </c>
      <c r="G37" s="24">
        <f t="shared" si="1"/>
        <v>2080</v>
      </c>
    </row>
    <row r="38" spans="1:7" ht="15" x14ac:dyDescent="0.2">
      <c r="A38" s="8"/>
      <c r="B38" s="8"/>
      <c r="C38" s="3"/>
      <c r="D38" s="3" t="s">
        <v>157</v>
      </c>
      <c r="E38" s="6">
        <v>1600</v>
      </c>
      <c r="F38" s="3">
        <f t="shared" si="0"/>
        <v>480</v>
      </c>
      <c r="G38" s="24">
        <f t="shared" si="1"/>
        <v>2080</v>
      </c>
    </row>
    <row r="39" spans="1:7" ht="15" x14ac:dyDescent="0.2">
      <c r="A39" s="8"/>
      <c r="B39" s="8"/>
      <c r="C39" s="3"/>
      <c r="D39" s="3"/>
      <c r="E39" s="3" t="s">
        <v>90</v>
      </c>
      <c r="F39" s="3"/>
      <c r="G39" s="24"/>
    </row>
    <row r="40" spans="1:7" ht="15" x14ac:dyDescent="0.2">
      <c r="A40" s="8" t="s">
        <v>224</v>
      </c>
      <c r="B40" s="8" t="s">
        <v>225</v>
      </c>
      <c r="C40" s="3"/>
      <c r="D40" s="3" t="s">
        <v>158</v>
      </c>
      <c r="E40" s="6">
        <v>1600</v>
      </c>
      <c r="F40" s="3">
        <f t="shared" si="0"/>
        <v>480</v>
      </c>
      <c r="G40" s="24">
        <f t="shared" si="1"/>
        <v>2080</v>
      </c>
    </row>
    <row r="41" spans="1:7" ht="15" x14ac:dyDescent="0.2">
      <c r="A41" s="8"/>
      <c r="B41" s="8"/>
      <c r="C41" s="3"/>
      <c r="D41" s="3" t="s">
        <v>159</v>
      </c>
      <c r="E41" s="6">
        <v>1600</v>
      </c>
      <c r="F41" s="3">
        <f t="shared" si="0"/>
        <v>480</v>
      </c>
      <c r="G41" s="24">
        <f t="shared" si="1"/>
        <v>2080</v>
      </c>
    </row>
    <row r="42" spans="1:7" ht="15" x14ac:dyDescent="0.2">
      <c r="A42" s="8"/>
      <c r="B42" s="8"/>
      <c r="C42" s="3"/>
      <c r="D42" s="3" t="s">
        <v>160</v>
      </c>
      <c r="E42" s="6">
        <v>1800</v>
      </c>
      <c r="F42" s="3">
        <f t="shared" si="0"/>
        <v>540</v>
      </c>
      <c r="G42" s="24">
        <f t="shared" si="1"/>
        <v>2340</v>
      </c>
    </row>
    <row r="43" spans="1:7" ht="15" x14ac:dyDescent="0.2">
      <c r="A43" s="8"/>
      <c r="B43" s="8"/>
      <c r="C43" s="3"/>
      <c r="D43" s="3"/>
      <c r="E43" s="3" t="s">
        <v>90</v>
      </c>
      <c r="F43" s="3"/>
      <c r="G43" s="24"/>
    </row>
    <row r="44" spans="1:7" ht="15" x14ac:dyDescent="0.2">
      <c r="A44" s="8" t="s">
        <v>224</v>
      </c>
      <c r="B44" s="8" t="s">
        <v>225</v>
      </c>
      <c r="C44" s="3"/>
      <c r="D44" s="3" t="s">
        <v>91</v>
      </c>
      <c r="E44" s="6">
        <v>2200</v>
      </c>
      <c r="F44" s="3">
        <f t="shared" si="0"/>
        <v>660</v>
      </c>
      <c r="G44" s="24">
        <f t="shared" si="1"/>
        <v>2860</v>
      </c>
    </row>
    <row r="45" spans="1:7" ht="15" x14ac:dyDescent="0.2">
      <c r="A45" s="8"/>
      <c r="B45" s="8"/>
      <c r="C45" s="3"/>
      <c r="D45" s="3" t="s">
        <v>92</v>
      </c>
      <c r="E45" s="6">
        <v>2500</v>
      </c>
      <c r="F45" s="3">
        <f t="shared" si="0"/>
        <v>750</v>
      </c>
      <c r="G45" s="24">
        <f t="shared" si="1"/>
        <v>3250</v>
      </c>
    </row>
    <row r="46" spans="1:7" ht="15" x14ac:dyDescent="0.2">
      <c r="A46" s="8"/>
      <c r="B46" s="8"/>
      <c r="C46" s="3"/>
      <c r="D46" s="3" t="s">
        <v>161</v>
      </c>
      <c r="E46" s="6">
        <v>2200</v>
      </c>
      <c r="F46" s="3">
        <f t="shared" si="0"/>
        <v>660</v>
      </c>
      <c r="G46" s="24">
        <f t="shared" si="1"/>
        <v>2860</v>
      </c>
    </row>
    <row r="47" spans="1:7" ht="15" x14ac:dyDescent="0.2">
      <c r="A47" s="8"/>
      <c r="B47" s="8"/>
      <c r="C47" s="3"/>
      <c r="D47" s="3" t="s">
        <v>162</v>
      </c>
      <c r="E47" s="6">
        <v>2500</v>
      </c>
      <c r="F47" s="3">
        <f t="shared" si="0"/>
        <v>750</v>
      </c>
      <c r="G47" s="24">
        <f t="shared" si="1"/>
        <v>3250</v>
      </c>
    </row>
    <row r="48" spans="1:7" ht="15" x14ac:dyDescent="0.2">
      <c r="A48" s="8"/>
      <c r="B48" s="8"/>
      <c r="C48" s="3"/>
      <c r="D48" s="3" t="s">
        <v>163</v>
      </c>
      <c r="E48" s="6">
        <v>2500</v>
      </c>
      <c r="F48" s="3">
        <f t="shared" si="0"/>
        <v>750</v>
      </c>
      <c r="G48" s="24">
        <f t="shared" si="1"/>
        <v>3250</v>
      </c>
    </row>
    <row r="49" spans="1:7" ht="15" x14ac:dyDescent="0.2">
      <c r="A49" s="8"/>
      <c r="B49" s="8"/>
      <c r="C49" s="3"/>
      <c r="D49" s="3" t="s">
        <v>164</v>
      </c>
      <c r="E49" s="6">
        <v>2900</v>
      </c>
      <c r="F49" s="3">
        <f t="shared" si="0"/>
        <v>870</v>
      </c>
      <c r="G49" s="24">
        <f t="shared" si="1"/>
        <v>3770</v>
      </c>
    </row>
    <row r="50" spans="1:7" ht="15" x14ac:dyDescent="0.2">
      <c r="A50" s="8"/>
      <c r="B50" s="8"/>
      <c r="C50" s="3"/>
      <c r="D50" s="3" t="s">
        <v>165</v>
      </c>
      <c r="E50" s="6">
        <v>2900</v>
      </c>
      <c r="F50" s="3">
        <f t="shared" si="0"/>
        <v>870</v>
      </c>
      <c r="G50" s="24">
        <f t="shared" si="1"/>
        <v>3770</v>
      </c>
    </row>
    <row r="51" spans="1:7" ht="15.75" customHeight="1" x14ac:dyDescent="0.2">
      <c r="A51" s="8"/>
      <c r="B51" s="8"/>
      <c r="C51" s="3"/>
      <c r="D51" s="3" t="s">
        <v>166</v>
      </c>
      <c r="E51" s="6">
        <v>3300</v>
      </c>
      <c r="F51" s="3">
        <f t="shared" si="0"/>
        <v>990</v>
      </c>
      <c r="G51" s="24">
        <f t="shared" si="1"/>
        <v>4290</v>
      </c>
    </row>
    <row r="52" spans="1:7" ht="15" x14ac:dyDescent="0.2">
      <c r="A52" s="8"/>
      <c r="B52" s="8"/>
      <c r="C52" s="3"/>
      <c r="D52" s="3" t="s">
        <v>167</v>
      </c>
      <c r="E52" s="6">
        <v>2900</v>
      </c>
      <c r="F52" s="3">
        <f t="shared" si="0"/>
        <v>870</v>
      </c>
      <c r="G52" s="24">
        <f t="shared" si="1"/>
        <v>3770</v>
      </c>
    </row>
    <row r="53" spans="1:7" ht="15" x14ac:dyDescent="0.2">
      <c r="A53" s="8"/>
      <c r="B53" s="8"/>
      <c r="C53" s="3"/>
      <c r="D53" s="3" t="s">
        <v>168</v>
      </c>
      <c r="E53" s="6">
        <v>3300</v>
      </c>
      <c r="F53" s="3">
        <f t="shared" si="0"/>
        <v>990</v>
      </c>
      <c r="G53" s="24">
        <f t="shared" si="1"/>
        <v>4290</v>
      </c>
    </row>
    <row r="54" spans="1:7" ht="15" x14ac:dyDescent="0.2">
      <c r="A54" s="8"/>
      <c r="B54" s="8"/>
      <c r="C54" s="3"/>
      <c r="D54" s="3" t="s">
        <v>169</v>
      </c>
      <c r="E54" s="6">
        <v>3300</v>
      </c>
      <c r="F54" s="3">
        <f t="shared" si="0"/>
        <v>990</v>
      </c>
      <c r="G54" s="24">
        <f t="shared" si="1"/>
        <v>4290</v>
      </c>
    </row>
    <row r="55" spans="1:7" ht="15.75" customHeight="1" x14ac:dyDescent="0.2">
      <c r="A55" s="8"/>
      <c r="B55" s="8"/>
      <c r="C55" s="3"/>
      <c r="D55" s="3" t="s">
        <v>170</v>
      </c>
      <c r="E55" s="6">
        <v>3700</v>
      </c>
      <c r="F55" s="3">
        <f t="shared" si="0"/>
        <v>1110</v>
      </c>
      <c r="G55" s="24">
        <f t="shared" si="1"/>
        <v>4810</v>
      </c>
    </row>
    <row r="56" spans="1:7" ht="15" x14ac:dyDescent="0.2">
      <c r="A56" s="8"/>
      <c r="B56" s="8"/>
      <c r="C56" s="3"/>
      <c r="D56" s="3" t="s">
        <v>171</v>
      </c>
      <c r="E56" s="6">
        <v>2500</v>
      </c>
      <c r="F56" s="3">
        <f t="shared" si="0"/>
        <v>750</v>
      </c>
      <c r="G56" s="24">
        <f t="shared" si="1"/>
        <v>3250</v>
      </c>
    </row>
    <row r="57" spans="1:7" ht="15" x14ac:dyDescent="0.2">
      <c r="A57" s="8"/>
      <c r="B57" s="8"/>
      <c r="C57" s="3"/>
      <c r="D57" s="3" t="s">
        <v>172</v>
      </c>
      <c r="E57" s="6">
        <v>2900</v>
      </c>
      <c r="F57" s="3">
        <f t="shared" si="0"/>
        <v>870</v>
      </c>
      <c r="G57" s="24">
        <f t="shared" si="1"/>
        <v>3770</v>
      </c>
    </row>
    <row r="58" spans="1:7" ht="15" x14ac:dyDescent="0.2">
      <c r="A58" s="8"/>
      <c r="B58" s="8"/>
      <c r="C58" s="3"/>
      <c r="D58" s="3" t="s">
        <v>173</v>
      </c>
      <c r="E58" s="6">
        <v>2900</v>
      </c>
      <c r="F58" s="3">
        <f t="shared" si="0"/>
        <v>870</v>
      </c>
      <c r="G58" s="24">
        <f t="shared" si="1"/>
        <v>3770</v>
      </c>
    </row>
    <row r="59" spans="1:7" ht="15" x14ac:dyDescent="0.2">
      <c r="A59" s="8"/>
      <c r="B59" s="8"/>
      <c r="C59" s="3"/>
      <c r="D59" s="3" t="s">
        <v>174</v>
      </c>
      <c r="E59" s="6">
        <v>3300</v>
      </c>
      <c r="F59" s="3">
        <f t="shared" si="0"/>
        <v>990</v>
      </c>
      <c r="G59" s="24">
        <f t="shared" si="1"/>
        <v>4290</v>
      </c>
    </row>
    <row r="60" spans="1:7" ht="15" x14ac:dyDescent="0.2">
      <c r="A60" s="8"/>
      <c r="B60" s="8"/>
      <c r="C60" s="3"/>
      <c r="D60" s="3" t="s">
        <v>175</v>
      </c>
      <c r="E60" s="6">
        <v>2900</v>
      </c>
      <c r="F60" s="3">
        <f t="shared" si="0"/>
        <v>870</v>
      </c>
      <c r="G60" s="24">
        <f t="shared" si="1"/>
        <v>3770</v>
      </c>
    </row>
    <row r="61" spans="1:7" ht="15" x14ac:dyDescent="0.2">
      <c r="A61" s="8"/>
      <c r="B61" s="8"/>
      <c r="C61" s="3"/>
      <c r="D61" s="3" t="s">
        <v>176</v>
      </c>
      <c r="E61" s="6">
        <v>3300</v>
      </c>
      <c r="F61" s="3">
        <f t="shared" si="0"/>
        <v>990</v>
      </c>
      <c r="G61" s="24">
        <f t="shared" si="1"/>
        <v>4290</v>
      </c>
    </row>
    <row r="62" spans="1:7" ht="15" x14ac:dyDescent="0.2">
      <c r="A62" s="8"/>
      <c r="B62" s="8"/>
      <c r="C62" s="3"/>
      <c r="D62" s="3" t="s">
        <v>177</v>
      </c>
      <c r="E62" s="6">
        <v>3300</v>
      </c>
      <c r="F62" s="3">
        <f t="shared" si="0"/>
        <v>990</v>
      </c>
      <c r="G62" s="24">
        <f t="shared" si="1"/>
        <v>4290</v>
      </c>
    </row>
    <row r="63" spans="1:7" ht="15" x14ac:dyDescent="0.2">
      <c r="A63" s="8"/>
      <c r="B63" s="8"/>
      <c r="C63" s="3"/>
      <c r="D63" s="3" t="s">
        <v>178</v>
      </c>
      <c r="E63" s="6">
        <v>3700</v>
      </c>
      <c r="F63" s="3">
        <f t="shared" si="0"/>
        <v>1110</v>
      </c>
      <c r="G63" s="24">
        <f t="shared" si="1"/>
        <v>4810</v>
      </c>
    </row>
    <row r="64" spans="1:7" ht="15" x14ac:dyDescent="0.2">
      <c r="A64" s="8"/>
      <c r="B64" s="8"/>
      <c r="C64" s="3"/>
      <c r="D64" s="3"/>
      <c r="E64" s="3" t="s">
        <v>90</v>
      </c>
      <c r="F64" s="3"/>
      <c r="G64" s="24"/>
    </row>
    <row r="65" spans="1:7" ht="15" x14ac:dyDescent="0.2">
      <c r="A65" s="8" t="s">
        <v>224</v>
      </c>
      <c r="B65" s="8" t="s">
        <v>225</v>
      </c>
      <c r="C65" s="3"/>
      <c r="D65" s="3" t="s">
        <v>179</v>
      </c>
      <c r="E65" s="6">
        <v>3300</v>
      </c>
      <c r="F65" s="3">
        <f t="shared" si="0"/>
        <v>990</v>
      </c>
      <c r="G65" s="24">
        <f t="shared" si="1"/>
        <v>4290</v>
      </c>
    </row>
    <row r="66" spans="1:7" ht="15" x14ac:dyDescent="0.2">
      <c r="A66" s="8"/>
      <c r="B66" s="8"/>
      <c r="C66" s="3"/>
      <c r="D66" s="3" t="s">
        <v>180</v>
      </c>
      <c r="E66" s="6">
        <v>3700</v>
      </c>
      <c r="F66" s="3">
        <f t="shared" si="0"/>
        <v>1110</v>
      </c>
      <c r="G66" s="24">
        <f t="shared" si="1"/>
        <v>4810</v>
      </c>
    </row>
    <row r="67" spans="1:7" ht="15" x14ac:dyDescent="0.2">
      <c r="A67" s="8"/>
      <c r="B67" s="8"/>
      <c r="C67" s="3"/>
      <c r="D67" s="3" t="s">
        <v>105</v>
      </c>
      <c r="E67" s="6">
        <v>3300</v>
      </c>
      <c r="F67" s="3">
        <f t="shared" si="0"/>
        <v>990</v>
      </c>
      <c r="G67" s="24">
        <f t="shared" si="1"/>
        <v>4290</v>
      </c>
    </row>
    <row r="68" spans="1:7" ht="15" x14ac:dyDescent="0.2">
      <c r="A68" s="8"/>
      <c r="B68" s="8"/>
      <c r="C68" s="3"/>
      <c r="D68" s="3" t="s">
        <v>106</v>
      </c>
      <c r="E68" s="6">
        <v>3700</v>
      </c>
      <c r="F68" s="3">
        <f t="shared" si="0"/>
        <v>1110</v>
      </c>
      <c r="G68" s="24">
        <f t="shared" si="1"/>
        <v>4810</v>
      </c>
    </row>
    <row r="69" spans="1:7" ht="15" x14ac:dyDescent="0.2">
      <c r="A69" s="8"/>
      <c r="B69" s="8"/>
      <c r="C69" s="3"/>
      <c r="D69" s="3" t="s">
        <v>181</v>
      </c>
      <c r="E69" s="6">
        <v>3300</v>
      </c>
      <c r="F69" s="3">
        <f t="shared" si="0"/>
        <v>990</v>
      </c>
      <c r="G69" s="24">
        <f t="shared" si="1"/>
        <v>4290</v>
      </c>
    </row>
    <row r="70" spans="1:7" ht="15" x14ac:dyDescent="0.2">
      <c r="A70" s="8"/>
      <c r="B70" s="8"/>
      <c r="C70" s="3"/>
      <c r="D70" s="3" t="s">
        <v>182</v>
      </c>
      <c r="E70" s="6">
        <v>3700</v>
      </c>
      <c r="F70" s="3">
        <f t="shared" si="0"/>
        <v>1110</v>
      </c>
      <c r="G70" s="24">
        <f t="shared" si="1"/>
        <v>4810</v>
      </c>
    </row>
    <row r="71" spans="1:7" ht="15" x14ac:dyDescent="0.2">
      <c r="A71" s="8"/>
      <c r="B71" s="8"/>
      <c r="C71" s="3"/>
      <c r="D71" s="3" t="s">
        <v>183</v>
      </c>
      <c r="E71" s="6">
        <v>3300</v>
      </c>
      <c r="F71" s="3">
        <f t="shared" si="0"/>
        <v>990</v>
      </c>
      <c r="G71" s="24">
        <f t="shared" si="1"/>
        <v>4290</v>
      </c>
    </row>
    <row r="72" spans="1:7" ht="15" x14ac:dyDescent="0.2">
      <c r="A72" s="8"/>
      <c r="B72" s="8"/>
      <c r="C72" s="3"/>
      <c r="D72" s="3" t="s">
        <v>184</v>
      </c>
      <c r="E72" s="6">
        <v>3700</v>
      </c>
      <c r="F72" s="3">
        <f t="shared" si="0"/>
        <v>1110</v>
      </c>
      <c r="G72" s="24">
        <f t="shared" si="1"/>
        <v>4810</v>
      </c>
    </row>
    <row r="73" spans="1:7" ht="15" x14ac:dyDescent="0.2">
      <c r="A73" s="8"/>
      <c r="B73" s="8"/>
      <c r="C73" s="3"/>
      <c r="D73" s="3" t="s">
        <v>109</v>
      </c>
      <c r="E73" s="6">
        <v>3300</v>
      </c>
      <c r="F73" s="3">
        <f t="shared" si="0"/>
        <v>990</v>
      </c>
      <c r="G73" s="24">
        <f t="shared" si="1"/>
        <v>4290</v>
      </c>
    </row>
    <row r="74" spans="1:7" ht="15" x14ac:dyDescent="0.2">
      <c r="A74" s="8"/>
      <c r="B74" s="8"/>
      <c r="C74" s="3"/>
      <c r="D74" s="3" t="s">
        <v>110</v>
      </c>
      <c r="E74" s="6">
        <v>3700</v>
      </c>
      <c r="F74" s="3">
        <f t="shared" si="0"/>
        <v>1110</v>
      </c>
      <c r="G74" s="24">
        <f t="shared" si="1"/>
        <v>4810</v>
      </c>
    </row>
    <row r="75" spans="1:7" ht="15" x14ac:dyDescent="0.2">
      <c r="A75" s="8"/>
      <c r="B75" s="8"/>
      <c r="C75" s="3"/>
      <c r="D75" s="3" t="s">
        <v>185</v>
      </c>
      <c r="E75" s="6">
        <v>3300</v>
      </c>
      <c r="F75" s="3">
        <f t="shared" si="0"/>
        <v>990</v>
      </c>
      <c r="G75" s="24">
        <f t="shared" si="1"/>
        <v>4290</v>
      </c>
    </row>
    <row r="76" spans="1:7" ht="15" x14ac:dyDescent="0.2">
      <c r="A76" s="8"/>
      <c r="B76" s="8"/>
      <c r="C76" s="3"/>
      <c r="D76" s="3" t="s">
        <v>186</v>
      </c>
      <c r="E76" s="6">
        <v>3700</v>
      </c>
      <c r="F76" s="3">
        <f t="shared" si="0"/>
        <v>1110</v>
      </c>
      <c r="G76" s="24">
        <f t="shared" si="1"/>
        <v>4810</v>
      </c>
    </row>
    <row r="77" spans="1:7" ht="15" x14ac:dyDescent="0.2">
      <c r="A77" s="8"/>
      <c r="B77" s="8"/>
      <c r="C77" s="3"/>
      <c r="D77" s="3" t="s">
        <v>187</v>
      </c>
      <c r="E77" s="6">
        <v>3300</v>
      </c>
      <c r="F77" s="3">
        <f t="shared" si="0"/>
        <v>990</v>
      </c>
      <c r="G77" s="24">
        <f t="shared" si="1"/>
        <v>4290</v>
      </c>
    </row>
    <row r="78" spans="1:7" ht="15" x14ac:dyDescent="0.2">
      <c r="A78" s="8"/>
      <c r="B78" s="8"/>
      <c r="C78" s="3"/>
      <c r="D78" s="3" t="s">
        <v>188</v>
      </c>
      <c r="E78" s="6">
        <v>3700</v>
      </c>
      <c r="F78" s="3">
        <f t="shared" ref="F78:F123" si="2">MROUND(E78*30%,5)</f>
        <v>1110</v>
      </c>
      <c r="G78" s="24">
        <f t="shared" ref="G78:G123" si="3">SUM(E78,F78)</f>
        <v>4810</v>
      </c>
    </row>
    <row r="79" spans="1:7" ht="15" x14ac:dyDescent="0.2">
      <c r="A79" s="8"/>
      <c r="B79" s="8"/>
      <c r="C79" s="3"/>
      <c r="D79" s="3" t="s">
        <v>189</v>
      </c>
      <c r="E79" s="6">
        <v>3300</v>
      </c>
      <c r="F79" s="3">
        <f t="shared" si="2"/>
        <v>990</v>
      </c>
      <c r="G79" s="24">
        <f t="shared" si="3"/>
        <v>4290</v>
      </c>
    </row>
    <row r="80" spans="1:7" ht="15" x14ac:dyDescent="0.2">
      <c r="A80" s="8"/>
      <c r="B80" s="8"/>
      <c r="C80" s="3"/>
      <c r="D80" s="3" t="s">
        <v>190</v>
      </c>
      <c r="E80" s="6">
        <v>3700</v>
      </c>
      <c r="F80" s="3">
        <f t="shared" si="2"/>
        <v>1110</v>
      </c>
      <c r="G80" s="24">
        <f t="shared" si="3"/>
        <v>4810</v>
      </c>
    </row>
    <row r="81" spans="1:7" ht="15" x14ac:dyDescent="0.2">
      <c r="A81" s="8"/>
      <c r="B81" s="8"/>
      <c r="C81" s="3"/>
      <c r="D81" s="3" t="s">
        <v>191</v>
      </c>
      <c r="E81" s="6">
        <v>3300</v>
      </c>
      <c r="F81" s="3">
        <f t="shared" si="2"/>
        <v>990</v>
      </c>
      <c r="G81" s="24">
        <f t="shared" si="3"/>
        <v>4290</v>
      </c>
    </row>
    <row r="82" spans="1:7" ht="15" x14ac:dyDescent="0.2">
      <c r="A82" s="8"/>
      <c r="B82" s="8"/>
      <c r="C82" s="3"/>
      <c r="D82" s="3" t="s">
        <v>192</v>
      </c>
      <c r="E82" s="6">
        <v>3700</v>
      </c>
      <c r="F82" s="3">
        <f t="shared" si="2"/>
        <v>1110</v>
      </c>
      <c r="G82" s="24">
        <f t="shared" si="3"/>
        <v>4810</v>
      </c>
    </row>
    <row r="83" spans="1:7" ht="15" x14ac:dyDescent="0.2">
      <c r="A83" s="8"/>
      <c r="B83" s="8"/>
      <c r="C83" s="3"/>
      <c r="D83" s="3" t="s">
        <v>193</v>
      </c>
      <c r="E83" s="6">
        <v>3300</v>
      </c>
      <c r="F83" s="3">
        <f t="shared" si="2"/>
        <v>990</v>
      </c>
      <c r="G83" s="24">
        <f t="shared" si="3"/>
        <v>4290</v>
      </c>
    </row>
    <row r="84" spans="1:7" ht="15" x14ac:dyDescent="0.2">
      <c r="A84" s="8"/>
      <c r="B84" s="8"/>
      <c r="C84" s="3"/>
      <c r="D84" s="3" t="s">
        <v>194</v>
      </c>
      <c r="E84" s="6">
        <v>3700</v>
      </c>
      <c r="F84" s="3">
        <f t="shared" si="2"/>
        <v>1110</v>
      </c>
      <c r="G84" s="24">
        <f t="shared" si="3"/>
        <v>4810</v>
      </c>
    </row>
    <row r="85" spans="1:7" ht="15" x14ac:dyDescent="0.2">
      <c r="A85" s="8"/>
      <c r="B85" s="8"/>
      <c r="C85" s="3"/>
      <c r="D85" s="3" t="s">
        <v>195</v>
      </c>
      <c r="E85" s="6">
        <v>3300</v>
      </c>
      <c r="F85" s="3">
        <f t="shared" si="2"/>
        <v>990</v>
      </c>
      <c r="G85" s="24">
        <f t="shared" si="3"/>
        <v>4290</v>
      </c>
    </row>
    <row r="86" spans="1:7" ht="15" x14ac:dyDescent="0.2">
      <c r="A86" s="8"/>
      <c r="B86" s="8"/>
      <c r="C86" s="3"/>
      <c r="D86" s="3" t="s">
        <v>196</v>
      </c>
      <c r="E86" s="6">
        <v>3700</v>
      </c>
      <c r="F86" s="3">
        <f t="shared" si="2"/>
        <v>1110</v>
      </c>
      <c r="G86" s="24">
        <f t="shared" si="3"/>
        <v>4810</v>
      </c>
    </row>
    <row r="87" spans="1:7" ht="15" x14ac:dyDescent="0.2">
      <c r="A87" s="8"/>
      <c r="B87" s="8"/>
      <c r="C87" s="3"/>
      <c r="D87" s="3" t="s">
        <v>197</v>
      </c>
      <c r="E87" s="6">
        <v>4600</v>
      </c>
      <c r="F87" s="3">
        <f t="shared" si="2"/>
        <v>1380</v>
      </c>
      <c r="G87" s="24">
        <f t="shared" si="3"/>
        <v>5980</v>
      </c>
    </row>
    <row r="88" spans="1:7" ht="15" x14ac:dyDescent="0.2">
      <c r="A88" s="8"/>
      <c r="B88" s="8"/>
      <c r="C88" s="3"/>
      <c r="D88" s="3" t="s">
        <v>198</v>
      </c>
      <c r="E88" s="6">
        <v>5200</v>
      </c>
      <c r="F88" s="3">
        <f t="shared" si="2"/>
        <v>1560</v>
      </c>
      <c r="G88" s="24">
        <f t="shared" si="3"/>
        <v>6760</v>
      </c>
    </row>
    <row r="89" spans="1:7" ht="15" x14ac:dyDescent="0.2">
      <c r="A89" s="8"/>
      <c r="B89" s="8"/>
      <c r="C89" s="3"/>
      <c r="D89" s="3" t="s">
        <v>199</v>
      </c>
      <c r="E89" s="6">
        <v>5200</v>
      </c>
      <c r="F89" s="3">
        <f t="shared" si="2"/>
        <v>1560</v>
      </c>
      <c r="G89" s="24">
        <f t="shared" si="3"/>
        <v>6760</v>
      </c>
    </row>
    <row r="90" spans="1:7" ht="15" x14ac:dyDescent="0.2">
      <c r="A90" s="8"/>
      <c r="B90" s="8"/>
      <c r="C90" s="3"/>
      <c r="D90" s="3" t="s">
        <v>200</v>
      </c>
      <c r="E90" s="6">
        <v>5800</v>
      </c>
      <c r="F90" s="3">
        <f t="shared" si="2"/>
        <v>1740</v>
      </c>
      <c r="G90" s="24">
        <f t="shared" si="3"/>
        <v>7540</v>
      </c>
    </row>
    <row r="91" spans="1:7" ht="15" x14ac:dyDescent="0.2">
      <c r="A91" s="8"/>
      <c r="B91" s="8"/>
      <c r="C91" s="3"/>
      <c r="D91" s="3" t="s">
        <v>117</v>
      </c>
      <c r="E91" s="6">
        <v>4600</v>
      </c>
      <c r="F91" s="3">
        <f t="shared" si="2"/>
        <v>1380</v>
      </c>
      <c r="G91" s="24">
        <f t="shared" si="3"/>
        <v>5980</v>
      </c>
    </row>
    <row r="92" spans="1:7" ht="15" x14ac:dyDescent="0.2">
      <c r="A92" s="8"/>
      <c r="B92" s="8"/>
      <c r="C92" s="3"/>
      <c r="D92" s="3" t="s">
        <v>118</v>
      </c>
      <c r="E92" s="6">
        <v>5200</v>
      </c>
      <c r="F92" s="3">
        <f t="shared" si="2"/>
        <v>1560</v>
      </c>
      <c r="G92" s="24">
        <f t="shared" si="3"/>
        <v>6760</v>
      </c>
    </row>
    <row r="93" spans="1:7" ht="15" x14ac:dyDescent="0.2">
      <c r="A93" s="8"/>
      <c r="B93" s="8"/>
      <c r="C93" s="3"/>
      <c r="D93" s="3" t="s">
        <v>119</v>
      </c>
      <c r="E93" s="6">
        <v>5200</v>
      </c>
      <c r="F93" s="3">
        <f t="shared" si="2"/>
        <v>1560</v>
      </c>
      <c r="G93" s="24">
        <f t="shared" si="3"/>
        <v>6760</v>
      </c>
    </row>
    <row r="94" spans="1:7" ht="15" x14ac:dyDescent="0.2">
      <c r="A94" s="8"/>
      <c r="B94" s="8"/>
      <c r="C94" s="3"/>
      <c r="D94" s="3" t="s">
        <v>120</v>
      </c>
      <c r="E94" s="6">
        <v>5800</v>
      </c>
      <c r="F94" s="3">
        <f t="shared" si="2"/>
        <v>1740</v>
      </c>
      <c r="G94" s="24">
        <f t="shared" si="3"/>
        <v>7540</v>
      </c>
    </row>
    <row r="95" spans="1:7" ht="15" x14ac:dyDescent="0.2">
      <c r="A95" s="8"/>
      <c r="B95" s="8"/>
      <c r="C95" s="3"/>
      <c r="D95" s="3" t="s">
        <v>201</v>
      </c>
      <c r="E95" s="6">
        <v>4600</v>
      </c>
      <c r="F95" s="3">
        <f t="shared" si="2"/>
        <v>1380</v>
      </c>
      <c r="G95" s="24">
        <f t="shared" si="3"/>
        <v>5980</v>
      </c>
    </row>
    <row r="96" spans="1:7" ht="15" x14ac:dyDescent="0.2">
      <c r="A96" s="8"/>
      <c r="B96" s="8"/>
      <c r="C96" s="3"/>
      <c r="D96" s="3" t="s">
        <v>202</v>
      </c>
      <c r="E96" s="6">
        <v>5200</v>
      </c>
      <c r="F96" s="3">
        <f t="shared" si="2"/>
        <v>1560</v>
      </c>
      <c r="G96" s="24">
        <f t="shared" si="3"/>
        <v>6760</v>
      </c>
    </row>
    <row r="97" spans="1:7" ht="15" x14ac:dyDescent="0.2">
      <c r="A97" s="8"/>
      <c r="B97" s="8"/>
      <c r="C97" s="3"/>
      <c r="D97" s="3" t="s">
        <v>121</v>
      </c>
      <c r="E97" s="6">
        <v>3500</v>
      </c>
      <c r="F97" s="3">
        <f t="shared" si="2"/>
        <v>1050</v>
      </c>
      <c r="G97" s="24">
        <f t="shared" si="3"/>
        <v>4550</v>
      </c>
    </row>
    <row r="98" spans="1:7" ht="15" x14ac:dyDescent="0.2">
      <c r="A98" s="8"/>
      <c r="B98" s="8"/>
      <c r="C98" s="3"/>
      <c r="D98" s="3" t="s">
        <v>122</v>
      </c>
      <c r="E98" s="6">
        <v>3900</v>
      </c>
      <c r="F98" s="3">
        <f t="shared" si="2"/>
        <v>1170</v>
      </c>
      <c r="G98" s="24">
        <f t="shared" si="3"/>
        <v>5070</v>
      </c>
    </row>
    <row r="99" spans="1:7" ht="15" x14ac:dyDescent="0.2">
      <c r="A99" s="8"/>
      <c r="B99" s="8"/>
      <c r="C99" s="3"/>
      <c r="D99" s="3" t="s">
        <v>203</v>
      </c>
      <c r="E99" s="6">
        <v>3900</v>
      </c>
      <c r="F99" s="3">
        <f t="shared" si="2"/>
        <v>1170</v>
      </c>
      <c r="G99" s="24">
        <f t="shared" si="3"/>
        <v>5070</v>
      </c>
    </row>
    <row r="100" spans="1:7" ht="15" x14ac:dyDescent="0.2">
      <c r="A100" s="8"/>
      <c r="B100" s="8"/>
      <c r="C100" s="3"/>
      <c r="D100" s="3" t="s">
        <v>204</v>
      </c>
      <c r="E100" s="6">
        <v>4400</v>
      </c>
      <c r="F100" s="3">
        <f t="shared" si="2"/>
        <v>1320</v>
      </c>
      <c r="G100" s="24">
        <f t="shared" si="3"/>
        <v>5720</v>
      </c>
    </row>
    <row r="101" spans="1:7" ht="15" x14ac:dyDescent="0.2">
      <c r="A101" s="8"/>
      <c r="B101" s="8"/>
      <c r="C101" s="3"/>
      <c r="D101" s="3" t="s">
        <v>124</v>
      </c>
      <c r="E101" s="6">
        <v>3300</v>
      </c>
      <c r="F101" s="3">
        <f t="shared" si="2"/>
        <v>990</v>
      </c>
      <c r="G101" s="24">
        <f t="shared" si="3"/>
        <v>4290</v>
      </c>
    </row>
    <row r="102" spans="1:7" ht="16" x14ac:dyDescent="0.2">
      <c r="A102" s="8"/>
      <c r="B102" s="8"/>
      <c r="C102" s="3"/>
      <c r="D102" s="2" t="s">
        <v>205</v>
      </c>
      <c r="E102" s="3" t="s">
        <v>90</v>
      </c>
      <c r="F102" s="3"/>
      <c r="G102" s="24"/>
    </row>
    <row r="103" spans="1:7" ht="15" x14ac:dyDescent="0.2">
      <c r="A103" s="8"/>
      <c r="B103" s="8"/>
      <c r="C103" s="3"/>
      <c r="D103" s="3" t="s">
        <v>226</v>
      </c>
      <c r="E103" s="6">
        <v>2300</v>
      </c>
      <c r="F103" s="3">
        <f t="shared" si="2"/>
        <v>690</v>
      </c>
      <c r="G103" s="24">
        <f t="shared" si="3"/>
        <v>2990</v>
      </c>
    </row>
    <row r="104" spans="1:7" ht="15" x14ac:dyDescent="0.2">
      <c r="A104" s="8"/>
      <c r="B104" s="8"/>
      <c r="C104" s="3"/>
      <c r="D104" s="3" t="s">
        <v>227</v>
      </c>
      <c r="E104" s="6">
        <v>5100</v>
      </c>
      <c r="F104" s="3">
        <f t="shared" si="2"/>
        <v>1530</v>
      </c>
      <c r="G104" s="24">
        <f t="shared" si="3"/>
        <v>6630</v>
      </c>
    </row>
    <row r="105" spans="1:7" ht="15" x14ac:dyDescent="0.2">
      <c r="A105" s="8"/>
      <c r="B105" s="8"/>
      <c r="C105" s="3"/>
      <c r="D105" s="3" t="s">
        <v>228</v>
      </c>
      <c r="E105" s="6">
        <v>3200</v>
      </c>
      <c r="F105" s="3">
        <f t="shared" si="2"/>
        <v>960</v>
      </c>
      <c r="G105" s="24">
        <f t="shared" si="3"/>
        <v>4160</v>
      </c>
    </row>
    <row r="106" spans="1:7" ht="15" x14ac:dyDescent="0.2">
      <c r="A106" s="8"/>
      <c r="B106" s="8"/>
      <c r="C106" s="3"/>
      <c r="D106" s="3" t="s">
        <v>229</v>
      </c>
      <c r="E106" s="6">
        <v>3700</v>
      </c>
      <c r="F106" s="3">
        <f t="shared" si="2"/>
        <v>1110</v>
      </c>
      <c r="G106" s="24">
        <f t="shared" si="3"/>
        <v>4810</v>
      </c>
    </row>
    <row r="107" spans="1:7" ht="15" x14ac:dyDescent="0.2">
      <c r="A107" s="8"/>
      <c r="B107" s="8"/>
      <c r="C107" s="3"/>
      <c r="D107" s="3" t="s">
        <v>230</v>
      </c>
      <c r="E107" s="6">
        <v>10100</v>
      </c>
      <c r="F107" s="3">
        <f t="shared" si="2"/>
        <v>3030</v>
      </c>
      <c r="G107" s="24">
        <f t="shared" si="3"/>
        <v>13130</v>
      </c>
    </row>
    <row r="108" spans="1:7" ht="15" x14ac:dyDescent="0.2">
      <c r="A108" s="8"/>
      <c r="B108" s="8"/>
      <c r="C108" s="3"/>
      <c r="D108" s="3" t="s">
        <v>231</v>
      </c>
      <c r="E108" s="6">
        <v>14100</v>
      </c>
      <c r="F108" s="3">
        <f t="shared" si="2"/>
        <v>4230</v>
      </c>
      <c r="G108" s="24">
        <f t="shared" si="3"/>
        <v>18330</v>
      </c>
    </row>
    <row r="109" spans="1:7" ht="15" x14ac:dyDescent="0.2">
      <c r="A109" s="8"/>
      <c r="B109" s="8"/>
      <c r="C109" s="3"/>
      <c r="D109" s="3" t="s">
        <v>232</v>
      </c>
      <c r="E109" s="6">
        <v>2300</v>
      </c>
      <c r="F109" s="3">
        <f t="shared" si="2"/>
        <v>690</v>
      </c>
      <c r="G109" s="24">
        <f t="shared" si="3"/>
        <v>2990</v>
      </c>
    </row>
    <row r="110" spans="1:7" ht="15" x14ac:dyDescent="0.2">
      <c r="A110" s="8"/>
      <c r="B110" s="8"/>
      <c r="C110" s="3"/>
      <c r="D110" s="3" t="s">
        <v>233</v>
      </c>
      <c r="E110" s="6">
        <v>5100</v>
      </c>
      <c r="F110" s="3">
        <f t="shared" si="2"/>
        <v>1530</v>
      </c>
      <c r="G110" s="24">
        <f t="shared" si="3"/>
        <v>6630</v>
      </c>
    </row>
    <row r="111" spans="1:7" ht="15" x14ac:dyDescent="0.2">
      <c r="A111" s="8"/>
      <c r="B111" s="8"/>
      <c r="C111" s="3"/>
      <c r="D111" s="3" t="s">
        <v>234</v>
      </c>
      <c r="E111" s="6">
        <v>10300</v>
      </c>
      <c r="F111" s="3">
        <f t="shared" si="2"/>
        <v>3090</v>
      </c>
      <c r="G111" s="24">
        <f t="shared" si="3"/>
        <v>13390</v>
      </c>
    </row>
    <row r="112" spans="1:7" ht="15" x14ac:dyDescent="0.2">
      <c r="A112" s="8"/>
      <c r="B112" s="8"/>
      <c r="C112" s="3"/>
      <c r="D112" s="3" t="s">
        <v>235</v>
      </c>
      <c r="E112" s="6">
        <v>14100</v>
      </c>
      <c r="F112" s="3">
        <f t="shared" si="2"/>
        <v>4230</v>
      </c>
      <c r="G112" s="24">
        <f t="shared" si="3"/>
        <v>18330</v>
      </c>
    </row>
    <row r="113" spans="1:7" ht="15" x14ac:dyDescent="0.2">
      <c r="A113" s="8"/>
      <c r="B113" s="8"/>
      <c r="C113" s="3"/>
      <c r="D113" s="3" t="s">
        <v>139</v>
      </c>
      <c r="E113" s="6">
        <v>10100</v>
      </c>
      <c r="F113" s="3">
        <f t="shared" si="2"/>
        <v>3030</v>
      </c>
      <c r="G113" s="24">
        <f t="shared" si="3"/>
        <v>13130</v>
      </c>
    </row>
    <row r="114" spans="1:7" ht="15" x14ac:dyDescent="0.2">
      <c r="A114" s="8"/>
      <c r="B114" s="8"/>
      <c r="C114" s="3"/>
      <c r="D114" s="3" t="s">
        <v>141</v>
      </c>
      <c r="E114" s="6">
        <v>14100</v>
      </c>
      <c r="F114" s="3">
        <f t="shared" si="2"/>
        <v>4230</v>
      </c>
      <c r="G114" s="24">
        <f t="shared" si="3"/>
        <v>18330</v>
      </c>
    </row>
    <row r="115" spans="1:7" ht="15" x14ac:dyDescent="0.2">
      <c r="A115" s="8"/>
      <c r="B115" s="8"/>
      <c r="C115" s="3"/>
      <c r="D115" s="3" t="s">
        <v>142</v>
      </c>
      <c r="E115" s="6">
        <v>10200</v>
      </c>
      <c r="F115" s="3">
        <f t="shared" si="2"/>
        <v>3060</v>
      </c>
      <c r="G115" s="24">
        <f t="shared" si="3"/>
        <v>13260</v>
      </c>
    </row>
    <row r="116" spans="1:7" ht="15" x14ac:dyDescent="0.2">
      <c r="A116" s="8"/>
      <c r="B116" s="8"/>
      <c r="C116" s="3"/>
      <c r="D116" s="3" t="s">
        <v>144</v>
      </c>
      <c r="E116" s="6">
        <v>14100</v>
      </c>
      <c r="F116" s="3">
        <f t="shared" si="2"/>
        <v>4230</v>
      </c>
      <c r="G116" s="24">
        <f t="shared" si="3"/>
        <v>18330</v>
      </c>
    </row>
    <row r="117" spans="1:7" ht="15" x14ac:dyDescent="0.2">
      <c r="A117" s="8"/>
      <c r="B117" s="8"/>
      <c r="C117" s="3"/>
      <c r="D117" s="3" t="s">
        <v>236</v>
      </c>
      <c r="E117" s="6">
        <v>40100</v>
      </c>
      <c r="F117" s="3">
        <f t="shared" si="2"/>
        <v>12030</v>
      </c>
      <c r="G117" s="24">
        <f t="shared" si="3"/>
        <v>52130</v>
      </c>
    </row>
    <row r="118" spans="1:7" ht="15" x14ac:dyDescent="0.2">
      <c r="A118" s="8"/>
      <c r="B118" s="8"/>
      <c r="C118" s="3"/>
      <c r="D118" s="3" t="s">
        <v>237</v>
      </c>
      <c r="E118" s="6">
        <v>35100</v>
      </c>
      <c r="F118" s="3">
        <f t="shared" si="2"/>
        <v>10530</v>
      </c>
      <c r="G118" s="24">
        <f t="shared" si="3"/>
        <v>45630</v>
      </c>
    </row>
    <row r="119" spans="1:7" ht="15" x14ac:dyDescent="0.2">
      <c r="A119" s="8"/>
      <c r="B119" s="8"/>
      <c r="C119" s="3"/>
      <c r="D119" s="3" t="s">
        <v>238</v>
      </c>
      <c r="E119" s="6">
        <v>30100</v>
      </c>
      <c r="F119" s="3">
        <f t="shared" si="2"/>
        <v>9030</v>
      </c>
      <c r="G119" s="24">
        <f t="shared" si="3"/>
        <v>39130</v>
      </c>
    </row>
    <row r="120" spans="1:7" ht="15" x14ac:dyDescent="0.2">
      <c r="A120" s="8"/>
      <c r="B120" s="8"/>
      <c r="C120" s="3"/>
      <c r="D120" s="3" t="s">
        <v>217</v>
      </c>
      <c r="E120" s="6">
        <v>25100</v>
      </c>
      <c r="F120" s="3">
        <f t="shared" si="2"/>
        <v>7530</v>
      </c>
      <c r="G120" s="24">
        <f t="shared" si="3"/>
        <v>32630</v>
      </c>
    </row>
    <row r="121" spans="1:7" ht="15" x14ac:dyDescent="0.2">
      <c r="A121" s="8"/>
      <c r="B121" s="8"/>
      <c r="C121" s="3"/>
      <c r="D121" s="3" t="s">
        <v>148</v>
      </c>
      <c r="E121" s="6">
        <v>24100</v>
      </c>
      <c r="F121" s="3">
        <f t="shared" si="2"/>
        <v>7230</v>
      </c>
      <c r="G121" s="24">
        <f t="shared" si="3"/>
        <v>31330</v>
      </c>
    </row>
    <row r="122" spans="1:7" ht="15" x14ac:dyDescent="0.2">
      <c r="A122" s="8"/>
      <c r="B122" s="8"/>
      <c r="C122" s="3"/>
      <c r="D122" s="3" t="s">
        <v>149</v>
      </c>
      <c r="E122" s="6">
        <v>27100</v>
      </c>
      <c r="F122" s="3">
        <f t="shared" si="2"/>
        <v>8130</v>
      </c>
      <c r="G122" s="24">
        <f t="shared" si="3"/>
        <v>35230</v>
      </c>
    </row>
    <row r="123" spans="1:7" ht="15" x14ac:dyDescent="0.2">
      <c r="A123" s="8"/>
      <c r="B123" s="8"/>
      <c r="C123" s="3"/>
      <c r="D123" s="3" t="s">
        <v>239</v>
      </c>
      <c r="E123" s="6">
        <v>30100</v>
      </c>
      <c r="F123" s="3">
        <f t="shared" si="2"/>
        <v>9030</v>
      </c>
      <c r="G123" s="24">
        <f t="shared" si="3"/>
        <v>39130</v>
      </c>
    </row>
    <row r="124" spans="1:7" ht="15" x14ac:dyDescent="0.2">
      <c r="A124" s="8"/>
      <c r="B124" s="8"/>
      <c r="C124" s="3"/>
      <c r="D124" s="3"/>
      <c r="E124" s="3"/>
      <c r="F124" s="3"/>
    </row>
  </sheetData>
  <mergeCells count="6">
    <mergeCell ref="A2:D2"/>
    <mergeCell ref="A3:R3"/>
    <mergeCell ref="A4:D4"/>
    <mergeCell ref="A8:B8"/>
    <mergeCell ref="A23:B23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KAWIT-SANTAFE</vt:lpstr>
      <vt:lpstr>BOGO-PALOMPON</vt:lpstr>
      <vt:lpstr>DANAO-ISABEL</vt:lpstr>
      <vt:lpstr>TABUELAN-ESCALANTE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Rise Jade  R. Benavente</cp:lastModifiedBy>
  <dcterms:modified xsi:type="dcterms:W3CDTF">2026-04-02T08:02:29Z</dcterms:modified>
</cp:coreProperties>
</file>